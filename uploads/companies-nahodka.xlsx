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Мануфактура (целевое решение)" sheetId="1" r:id="rId4"/>
  </sheets>
  <definedNames/>
  <calcPr/>
</workbook>
</file>

<file path=xl/sharedStrings.xml><?xml version="1.0" encoding="utf-8"?>
<sst xmlns="http://schemas.openxmlformats.org/spreadsheetml/2006/main" count="96" uniqueCount="94">
  <si>
    <t>Смета для Конструктора акций от NocodeRed 28.08.2025</t>
  </si>
  <si>
    <t>Team</t>
  </si>
  <si>
    <t>Менеджер / Аналитик</t>
  </si>
  <si>
    <t>Дизайн / вёрстка</t>
  </si>
  <si>
    <t>Код (front/back)</t>
  </si>
  <si>
    <t>Копирайт / Редактор</t>
  </si>
  <si>
    <t>Code / Back-end</t>
  </si>
  <si>
    <t>Тестирование</t>
  </si>
  <si>
    <t>Часы</t>
  </si>
  <si>
    <t>Стоимость</t>
  </si>
  <si>
    <t>Ставка/час</t>
  </si>
  <si>
    <t>1 Этап. Инициализация и ведение проекта</t>
  </si>
  <si>
    <t>1.1</t>
  </si>
  <si>
    <t>Фиксация бизнес-целей и задач, оформление проекта</t>
  </si>
  <si>
    <t>1.2</t>
  </si>
  <si>
    <t>Создание структуры и логики переходов</t>
  </si>
  <si>
    <t>1.3</t>
  </si>
  <si>
    <t>Первичное развертывание серверов</t>
  </si>
  <si>
    <t>1.4</t>
  </si>
  <si>
    <t>Настройка CI/CD, инициализация репозиториев</t>
  </si>
  <si>
    <t>2 Этап. Разработка</t>
  </si>
  <si>
    <t>2.1 Страница конструктора</t>
  </si>
  <si>
    <t>2.1.1</t>
  </si>
  <si>
    <t>Главный экран</t>
  </si>
  <si>
    <t>2.1.2</t>
  </si>
  <si>
    <t>Навигация с кнопкой СТА</t>
  </si>
  <si>
    <t>2.1.3</t>
  </si>
  <si>
    <t>Форма обратной связи</t>
  </si>
  <si>
    <t>2.1.4</t>
  </si>
  <si>
    <t>Блок с кратким описанием (О проекте)</t>
  </si>
  <si>
    <t>2.1.5</t>
  </si>
  <si>
    <t>Блок с преимуществами</t>
  </si>
  <si>
    <t>2.1.6</t>
  </si>
  <si>
    <t>Блок с возможностями (Как это работает)</t>
  </si>
  <si>
    <t>2.1.7</t>
  </si>
  <si>
    <t>Блок с примерами</t>
  </si>
  <si>
    <t>2.1.8</t>
  </si>
  <si>
    <t>Блок с тарифом и регистрацией + интеграция с платежной системой</t>
  </si>
  <si>
    <t>2.1.9</t>
  </si>
  <si>
    <t>Часто задаваемые вопросы</t>
  </si>
  <si>
    <t>2.1.10</t>
  </si>
  <si>
    <t>Блок с дополнительными сервисами</t>
  </si>
  <si>
    <t>2.1.11</t>
  </si>
  <si>
    <t>Футер</t>
  </si>
  <si>
    <t>2.1.12</t>
  </si>
  <si>
    <t>Сниппеты, H1,H2,H3 теги</t>
  </si>
  <si>
    <t>2.1.13</t>
  </si>
  <si>
    <t>Сёрч-консоли, яндекс-метрика (подключение, первичные настройки)</t>
  </si>
  <si>
    <t>2.2 Личный кабинет</t>
  </si>
  <si>
    <t>2.2.1</t>
  </si>
  <si>
    <t>Навигация</t>
  </si>
  <si>
    <t>2.2.2</t>
  </si>
  <si>
    <t>Чат-бот поддержки акции</t>
  </si>
  <si>
    <t>2.2.3</t>
  </si>
  <si>
    <t>Уведомление в случае необходимости внесения правок после модерации</t>
  </si>
  <si>
    <t>2.2.4</t>
  </si>
  <si>
    <t>Технические страницы (404 и т.п.)</t>
  </si>
  <si>
    <t>2.3 Настройка приложения</t>
  </si>
  <si>
    <t>2.3.1</t>
  </si>
  <si>
    <t>Цвета приложения</t>
  </si>
  <si>
    <t>2.3.2</t>
  </si>
  <si>
    <t>Логотипы</t>
  </si>
  <si>
    <t>2.3.3</t>
  </si>
  <si>
    <t>Тексты промо</t>
  </si>
  <si>
    <t>2.3.4</t>
  </si>
  <si>
    <t>Метрика</t>
  </si>
  <si>
    <t>2.4 Параметры акции</t>
  </si>
  <si>
    <t>2.4.1</t>
  </si>
  <si>
    <t>Срок розыгрыша</t>
  </si>
  <si>
    <t>2.4.2</t>
  </si>
  <si>
    <t>Период проведения акции</t>
  </si>
  <si>
    <t>2.4.3</t>
  </si>
  <si>
    <t>Тип розыгрыша</t>
  </si>
  <si>
    <t>2.4.4</t>
  </si>
  <si>
    <t>Призовой фонд</t>
  </si>
  <si>
    <t>2.4.5</t>
  </si>
  <si>
    <t>Загрузка правил и соглашений</t>
  </si>
  <si>
    <t>2.5 Мониторинг и отчетность</t>
  </si>
  <si>
    <t>2.5.1</t>
  </si>
  <si>
    <t>Статистика, просмотры, участники</t>
  </si>
  <si>
    <t>2.5.2</t>
  </si>
  <si>
    <t>Управление розыгрышем призов</t>
  </si>
  <si>
    <t>2.5.3</t>
  </si>
  <si>
    <t>Экспорт данных</t>
  </si>
  <si>
    <t>2.6 Механизм завершения акции</t>
  </si>
  <si>
    <t>2.6.1</t>
  </si>
  <si>
    <t>Механизм автоматического завершения акции</t>
  </si>
  <si>
    <t>3 Этап. Финализация проекта</t>
  </si>
  <si>
    <t>3.1</t>
  </si>
  <si>
    <t>Тестирование, финальная вычитка, дизайн ревью</t>
  </si>
  <si>
    <t>3.2</t>
  </si>
  <si>
    <t>Менеджмент</t>
  </si>
  <si>
    <t>Итого</t>
  </si>
  <si>
    <t>Рабочих недель на выполнение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</si>
</sst>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€]#,##0"/>
    <numFmt numFmtId="165" formatCode="#,##0[$₽]"/>
    <numFmt numFmtId="166" formatCode="[$р.-419]#,##0.00"/>
    <numFmt numFmtId="167" formatCode="d-m"/>
  </numFmts>
  <fonts count="6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</fills>
  <borders count="8">
    <border/>
    <border>
      <left style="thick">
        <color rgb="FFEFEFEF"/>
      </left>
      <top style="thick">
        <color rgb="FFEFEFEF"/>
      </top>
    </border>
    <border>
      <top style="thick">
        <color rgb="FFEFEFEF"/>
      </top>
    </border>
    <border>
      <right style="thick">
        <color rgb="FFEFEFEF"/>
      </right>
      <top style="thick">
        <color rgb="FFEFEFEF"/>
      </top>
    </border>
    <border>
      <left style="thick">
        <color rgb="FFEFEFEF"/>
      </left>
    </border>
    <border>
      <right style="thick">
        <color rgb="FFEFEFEF"/>
      </right>
    </border>
    <border>
      <left style="thick">
        <color rgb="FFEFEFEF"/>
      </left>
      <bottom style="thick">
        <color rgb="FFEFEFEF"/>
      </bottom>
    </border>
    <border>
      <bottom style="thick">
        <color rgb="FFEFEFEF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left" readingOrder="0" shrinkToFit="0" vertical="center" wrapText="1"/>
    </xf>
    <xf borderId="2" fillId="2" fontId="3" numFmtId="0" xfId="0" applyAlignment="1" applyBorder="1" applyFill="1" applyFont="1">
      <alignment horizontal="left" readingOrder="0" shrinkToFit="0" vertical="center" wrapText="1"/>
    </xf>
    <xf borderId="2" fillId="2" fontId="3" numFmtId="0" xfId="0" applyAlignment="1" applyBorder="1" applyFont="1">
      <alignment horizontal="center" readingOrder="0" shrinkToFit="0" vertical="center" wrapText="1"/>
    </xf>
    <xf borderId="3" fillId="2" fontId="3" numFmtId="0" xfId="0" applyAlignment="1" applyBorder="1" applyFont="1">
      <alignment horizontal="center" readingOrder="0" shrinkToFit="0" vertical="center" wrapText="1"/>
    </xf>
    <xf borderId="3" fillId="2" fontId="3" numFmtId="164" xfId="0" applyAlignment="1" applyBorder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4" fillId="0" fontId="2" numFmtId="0" xfId="0" applyBorder="1" applyFont="1"/>
    <xf borderId="0" fillId="0" fontId="3" numFmtId="165" xfId="0" applyAlignment="1" applyFont="1" applyNumberFormat="1">
      <alignment horizontal="left" readingOrder="0" shrinkToFit="0" wrapText="1"/>
    </xf>
    <xf borderId="0" fillId="0" fontId="4" numFmtId="166" xfId="0" applyAlignment="1" applyFont="1" applyNumberFormat="1">
      <alignment horizontal="center" readingOrder="0"/>
    </xf>
    <xf borderId="0" fillId="0" fontId="4" numFmtId="0" xfId="0" applyFont="1"/>
    <xf borderId="5" fillId="0" fontId="4" numFmtId="164" xfId="0" applyBorder="1" applyFont="1" applyNumberFormat="1"/>
    <xf borderId="4" fillId="2" fontId="3" numFmtId="0" xfId="0" applyAlignment="1" applyBorder="1" applyFont="1">
      <alignment readingOrder="0" shrinkToFit="0" wrapText="1"/>
    </xf>
    <xf borderId="0" fillId="2" fontId="3" numFmtId="49" xfId="0" applyAlignment="1" applyFont="1" applyNumberFormat="1">
      <alignment horizontal="left" shrinkToFit="0" wrapText="1"/>
    </xf>
    <xf borderId="0" fillId="2" fontId="3" numFmtId="49" xfId="0" applyAlignment="1" applyFont="1" applyNumberFormat="1">
      <alignment horizontal="right"/>
    </xf>
    <xf borderId="5" fillId="2" fontId="3" numFmtId="166" xfId="0" applyAlignment="1" applyBorder="1" applyFont="1" applyNumberFormat="1">
      <alignment horizontal="right"/>
    </xf>
    <xf borderId="4" fillId="0" fontId="3" numFmtId="49" xfId="0" applyAlignment="1" applyBorder="1" applyFont="1" applyNumberFormat="1">
      <alignment horizontal="right" readingOrder="0"/>
    </xf>
    <xf borderId="0" fillId="0" fontId="4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5" fillId="0" fontId="4" numFmtId="164" xfId="0" applyAlignment="1" applyBorder="1" applyFont="1" applyNumberFormat="1">
      <alignment horizontal="right"/>
    </xf>
    <xf borderId="4" fillId="2" fontId="3" numFmtId="0" xfId="0" applyAlignment="1" applyBorder="1" applyFont="1">
      <alignment readingOrder="0"/>
    </xf>
    <xf borderId="0" fillId="2" fontId="3" numFmtId="0" xfId="0" applyAlignment="1" applyFont="1">
      <alignment horizontal="left" shrinkToFit="0" wrapText="1"/>
    </xf>
    <xf borderId="0" fillId="2" fontId="3" numFmtId="0" xfId="0" applyAlignment="1" applyFont="1">
      <alignment horizontal="right"/>
    </xf>
    <xf borderId="0" fillId="2" fontId="3" numFmtId="1" xfId="0" applyAlignment="1" applyFont="1" applyNumberFormat="1">
      <alignment horizontal="right"/>
    </xf>
    <xf borderId="4" fillId="3" fontId="3" numFmtId="49" xfId="0" applyAlignment="1" applyBorder="1" applyFill="1" applyFont="1" applyNumberFormat="1">
      <alignment horizontal="right" readingOrder="0" vertical="bottom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vertical="bottom"/>
    </xf>
    <xf borderId="0" fillId="3" fontId="4" numFmtId="1" xfId="0" applyAlignment="1" applyFont="1" applyNumberFormat="1">
      <alignment horizontal="right" vertical="bottom"/>
    </xf>
    <xf borderId="0" fillId="3" fontId="5" numFmtId="0" xfId="0" applyAlignment="1" applyFont="1">
      <alignment horizontal="right" readingOrder="0"/>
    </xf>
    <xf borderId="0" fillId="3" fontId="3" numFmtId="3" xfId="0" applyAlignment="1" applyFont="1" applyNumberFormat="1">
      <alignment horizontal="right" readingOrder="0"/>
    </xf>
    <xf borderId="5" fillId="4" fontId="3" numFmtId="166" xfId="0" applyAlignment="1" applyBorder="1" applyFill="1" applyFont="1" applyNumberFormat="1">
      <alignment horizontal="right"/>
    </xf>
    <xf borderId="4" fillId="0" fontId="3" numFmtId="49" xfId="0" applyAlignment="1" applyBorder="1" applyFont="1" applyNumberFormat="1">
      <alignment horizontal="right" readingOrder="0" vertical="bottom"/>
    </xf>
    <xf borderId="0" fillId="0" fontId="4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1" xfId="0" applyAlignment="1" applyFont="1" applyNumberFormat="1">
      <alignment horizontal="right" readingOrder="0"/>
    </xf>
    <xf borderId="0" fillId="0" fontId="4" numFmtId="3" xfId="0" applyAlignment="1" applyFont="1" applyNumberFormat="1">
      <alignment horizontal="right" readingOrder="0"/>
    </xf>
    <xf borderId="5" fillId="0" fontId="4" numFmtId="164" xfId="0" applyAlignment="1" applyBorder="1" applyFont="1" applyNumberFormat="1">
      <alignment horizontal="right" readingOrder="0"/>
    </xf>
    <xf borderId="0" fillId="0" fontId="2" numFmtId="0" xfId="0" applyAlignment="1" applyFont="1">
      <alignment readingOrder="0"/>
    </xf>
    <xf borderId="5" fillId="0" fontId="3" numFmtId="164" xfId="0" applyAlignment="1" applyBorder="1" applyFont="1" applyNumberFormat="1">
      <alignment horizontal="right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0" fontId="3" numFmtId="166" xfId="0" applyAlignment="1" applyFont="1" applyNumberFormat="1">
      <alignment horizontal="right"/>
    </xf>
    <xf borderId="0" fillId="3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2" numFmtId="0" xfId="0" applyAlignment="1" applyFont="1">
      <alignment readingOrder="0" shrinkToFit="0" wrapText="1"/>
    </xf>
    <xf borderId="0" fillId="5" fontId="5" numFmtId="0" xfId="0" applyAlignment="1" applyFill="1" applyFont="1">
      <alignment horizontal="right" readingOrder="0"/>
    </xf>
    <xf borderId="4" fillId="3" fontId="3" numFmtId="49" xfId="0" applyAlignment="1" applyBorder="1" applyFont="1" applyNumberFormat="1">
      <alignment horizontal="right" readingOrder="0" shrinkToFit="0" vertical="bottom" wrapText="1"/>
    </xf>
    <xf borderId="0" fillId="2" fontId="3" numFmtId="0" xfId="0" applyAlignment="1" applyFont="1">
      <alignment horizontal="left" readingOrder="0" shrinkToFit="0" wrapText="1"/>
    </xf>
    <xf borderId="0" fillId="2" fontId="3" numFmtId="0" xfId="0" applyAlignment="1" applyFont="1">
      <alignment horizontal="right" readingOrder="0"/>
    </xf>
    <xf borderId="4" fillId="6" fontId="4" numFmtId="0" xfId="0" applyBorder="1" applyFill="1" applyFont="1"/>
    <xf borderId="0" fillId="6" fontId="3" numFmtId="0" xfId="0" applyAlignment="1" applyFont="1">
      <alignment horizontal="right" readingOrder="0"/>
    </xf>
    <xf borderId="0" fillId="6" fontId="3" numFmtId="49" xfId="0" applyAlignment="1" applyFont="1" applyNumberFormat="1">
      <alignment horizontal="right"/>
    </xf>
    <xf borderId="0" fillId="5" fontId="2" numFmtId="0" xfId="0" applyAlignment="1" applyFont="1">
      <alignment readingOrder="0"/>
    </xf>
    <xf borderId="4" fillId="0" fontId="4" numFmtId="0" xfId="0" applyBorder="1" applyFont="1"/>
    <xf borderId="0" fillId="0" fontId="4" numFmtId="0" xfId="0" applyAlignment="1" applyFont="1">
      <alignment horizontal="left" shrinkToFit="0" wrapText="1"/>
    </xf>
    <xf borderId="0" fillId="7" fontId="3" numFmtId="0" xfId="0" applyAlignment="1" applyFill="1" applyFont="1">
      <alignment horizontal="left" readingOrder="0" shrinkToFit="0" wrapText="1"/>
    </xf>
    <xf borderId="0" fillId="7" fontId="4" numFmtId="0" xfId="0" applyFont="1"/>
    <xf borderId="0" fillId="7" fontId="3" numFmtId="49" xfId="0" applyAlignment="1" applyFont="1" applyNumberFormat="1">
      <alignment horizontal="right"/>
    </xf>
    <xf borderId="0" fillId="7" fontId="3" numFmtId="167" xfId="0" applyAlignment="1" applyFont="1" applyNumberFormat="1">
      <alignment horizontal="right" readingOrder="0"/>
    </xf>
    <xf borderId="6" fillId="0" fontId="4" numFmtId="0" xfId="0" applyBorder="1" applyFont="1"/>
    <xf borderId="0" fillId="8" fontId="3" numFmtId="0" xfId="0" applyAlignment="1" applyFill="1" applyFont="1">
      <alignment horizontal="left" readingOrder="0" shrinkToFit="0" wrapText="1"/>
    </xf>
    <xf borderId="0" fillId="8" fontId="3" numFmtId="0" xfId="0" applyFont="1"/>
    <xf borderId="0" fillId="8" fontId="3" numFmtId="166" xfId="0" applyFont="1" applyNumberFormat="1"/>
    <xf borderId="0" fillId="5" fontId="5" numFmtId="0" xfId="0" applyAlignment="1" applyFont="1">
      <alignment horizontal="left" readingOrder="0"/>
    </xf>
    <xf borderId="0" fillId="5" fontId="5" numFmtId="0" xfId="0" applyAlignment="1" applyFont="1">
      <alignment horizontal="left" readingOrder="0" shrinkToFit="0" wrapText="1"/>
    </xf>
    <xf borderId="0" fillId="5" fontId="5" numFmtId="164" xfId="0" applyAlignment="1" applyFont="1" applyNumberFormat="1">
      <alignment horizontal="left" readingOrder="0"/>
    </xf>
    <xf borderId="0" fillId="0" fontId="2" numFmtId="0" xfId="0" applyAlignment="1" applyFont="1">
      <alignment horizontal="left" shrinkToFit="0" wrapText="1"/>
    </xf>
    <xf borderId="0" fillId="0" fontId="2" numFmtId="164" xfId="0" applyFont="1" applyNumberFormat="1"/>
    <xf borderId="0" fillId="5" fontId="2" numFmtId="0" xfId="0" applyFont="1"/>
    <xf borderId="7" fillId="5" fontId="3" numFmtId="0" xfId="0" applyAlignment="1" applyBorder="1" applyFont="1">
      <alignment horizontal="left" shrinkToFit="0" wrapText="1"/>
    </xf>
    <xf borderId="7" fillId="5" fontId="3" numFmtId="0" xfId="0" applyBorder="1" applyFont="1"/>
    <xf borderId="7" fillId="5" fontId="3" numFmtId="165" xfId="0" applyAlignment="1" applyBorder="1" applyFont="1" applyNumberFormat="1">
      <alignment horizontal="right" readingOrder="0"/>
    </xf>
    <xf borderId="0" fillId="5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 outlineLevelRow="2"/>
  <cols>
    <col customWidth="1" min="1" max="1" width="25.5"/>
    <col customWidth="1" min="2" max="2" width="57.63"/>
    <col customWidth="1" min="3" max="6" width="11.5"/>
    <col customWidth="1" hidden="1" min="7" max="7" width="11.5"/>
    <col customWidth="1" min="8" max="8" width="14.63"/>
    <col customWidth="1" min="9" max="10" width="11.5"/>
  </cols>
  <sheetData>
    <row r="1" ht="30.0" customHeight="1">
      <c r="A1" s="1" t="s">
        <v>0</v>
      </c>
    </row>
    <row r="3">
      <c r="A3" s="2"/>
      <c r="B3" s="3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5" t="s">
        <v>8</v>
      </c>
      <c r="J3" s="6" t="s">
        <v>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>
      <c r="A4" s="8"/>
      <c r="B4" s="9" t="s">
        <v>10</v>
      </c>
      <c r="C4" s="10">
        <v>3500.0</v>
      </c>
      <c r="H4" s="11"/>
      <c r="I4" s="11"/>
      <c r="J4" s="12"/>
    </row>
    <row r="5">
      <c r="A5" s="13" t="s">
        <v>11</v>
      </c>
      <c r="B5" s="14"/>
      <c r="C5" s="15">
        <f t="shared" ref="C5:F5" si="1">SUM(C6:C9)</f>
        <v>3</v>
      </c>
      <c r="D5" s="15">
        <f t="shared" si="1"/>
        <v>0</v>
      </c>
      <c r="E5" s="15">
        <f t="shared" si="1"/>
        <v>10</v>
      </c>
      <c r="F5" s="15">
        <f t="shared" si="1"/>
        <v>5</v>
      </c>
      <c r="G5" s="15">
        <f>SUM(G6:G7)</f>
        <v>0</v>
      </c>
      <c r="H5" s="15">
        <f>SUM(H6:H9)</f>
        <v>0</v>
      </c>
      <c r="I5" s="15">
        <f t="shared" ref="I5:I10" si="2">SUM(C5:H5)</f>
        <v>18</v>
      </c>
      <c r="J5" s="16">
        <f>I5*$C$4</f>
        <v>63000</v>
      </c>
    </row>
    <row r="6" outlineLevel="1">
      <c r="A6" s="17" t="s">
        <v>12</v>
      </c>
      <c r="B6" s="18" t="s">
        <v>13</v>
      </c>
      <c r="C6" s="19">
        <v>3.0</v>
      </c>
      <c r="D6" s="20"/>
      <c r="E6" s="20"/>
      <c r="F6" s="21"/>
      <c r="G6" s="21"/>
      <c r="H6" s="21"/>
      <c r="I6" s="21">
        <f t="shared" si="2"/>
        <v>3</v>
      </c>
      <c r="J6" s="22"/>
    </row>
    <row r="7" outlineLevel="1">
      <c r="A7" s="17" t="s">
        <v>14</v>
      </c>
      <c r="B7" s="18" t="s">
        <v>15</v>
      </c>
      <c r="C7" s="19"/>
      <c r="E7" s="20"/>
      <c r="F7" s="20">
        <v>5.0</v>
      </c>
      <c r="G7" s="21"/>
      <c r="H7" s="21"/>
      <c r="I7" s="21">
        <f t="shared" si="2"/>
        <v>5</v>
      </c>
      <c r="J7" s="22"/>
    </row>
    <row r="8" outlineLevel="1">
      <c r="A8" s="17" t="s">
        <v>16</v>
      </c>
      <c r="B8" s="18" t="s">
        <v>17</v>
      </c>
      <c r="C8" s="19"/>
      <c r="D8" s="20"/>
      <c r="E8" s="20">
        <v>6.0</v>
      </c>
      <c r="F8" s="20"/>
      <c r="G8" s="21"/>
      <c r="H8" s="21"/>
      <c r="I8" s="21">
        <f t="shared" si="2"/>
        <v>6</v>
      </c>
      <c r="J8" s="22"/>
    </row>
    <row r="9" outlineLevel="1">
      <c r="A9" s="17" t="s">
        <v>18</v>
      </c>
      <c r="B9" s="18" t="s">
        <v>19</v>
      </c>
      <c r="C9" s="19"/>
      <c r="D9" s="20"/>
      <c r="E9" s="20">
        <v>4.0</v>
      </c>
      <c r="F9" s="20"/>
      <c r="G9" s="21"/>
      <c r="H9" s="21"/>
      <c r="I9" s="21">
        <f t="shared" si="2"/>
        <v>4</v>
      </c>
      <c r="J9" s="22"/>
    </row>
    <row r="10">
      <c r="A10" s="23" t="s">
        <v>20</v>
      </c>
      <c r="B10" s="24"/>
      <c r="C10" s="25">
        <f t="shared" ref="C10:H10" si="3">SUM(C11:C46)</f>
        <v>0</v>
      </c>
      <c r="D10" s="26">
        <f t="shared" si="3"/>
        <v>29</v>
      </c>
      <c r="E10" s="25">
        <f t="shared" si="3"/>
        <v>91</v>
      </c>
      <c r="F10" s="25">
        <f t="shared" si="3"/>
        <v>13</v>
      </c>
      <c r="G10" s="25">
        <f t="shared" si="3"/>
        <v>0</v>
      </c>
      <c r="H10" s="25">
        <f t="shared" si="3"/>
        <v>0</v>
      </c>
      <c r="I10" s="25">
        <f t="shared" si="2"/>
        <v>133</v>
      </c>
      <c r="J10" s="16">
        <f t="shared" ref="J10:J11" si="4">I10*$C$4</f>
        <v>465500</v>
      </c>
    </row>
    <row r="11" outlineLevel="1">
      <c r="A11" s="27" t="s">
        <v>21</v>
      </c>
      <c r="B11" s="28"/>
      <c r="C11" s="29"/>
      <c r="D11" s="30"/>
      <c r="E11" s="29"/>
      <c r="F11" s="29"/>
      <c r="G11" s="29"/>
      <c r="H11" s="31"/>
      <c r="I11" s="32">
        <f>SUM(I12:I24)</f>
        <v>42</v>
      </c>
      <c r="J11" s="33">
        <f t="shared" si="4"/>
        <v>147000</v>
      </c>
    </row>
    <row r="12" outlineLevel="2">
      <c r="A12" s="34" t="s">
        <v>22</v>
      </c>
      <c r="B12" s="35" t="s">
        <v>23</v>
      </c>
      <c r="C12" s="36"/>
      <c r="D12" s="37">
        <v>3.0</v>
      </c>
      <c r="E12" s="36"/>
      <c r="F12" s="36">
        <v>1.0</v>
      </c>
      <c r="G12" s="36"/>
      <c r="H12" s="38"/>
      <c r="I12" s="39">
        <f t="shared" ref="I12:I24" si="5">SUM(C12:H12)</f>
        <v>4</v>
      </c>
      <c r="J12" s="40"/>
    </row>
    <row r="13" outlineLevel="2">
      <c r="A13" s="34" t="s">
        <v>24</v>
      </c>
      <c r="B13" s="41" t="s">
        <v>25</v>
      </c>
      <c r="C13" s="36"/>
      <c r="D13" s="37">
        <v>1.0</v>
      </c>
      <c r="E13" s="36"/>
      <c r="F13" s="36">
        <v>1.0</v>
      </c>
      <c r="G13" s="36"/>
      <c r="H13" s="38"/>
      <c r="I13" s="39">
        <f t="shared" si="5"/>
        <v>2</v>
      </c>
      <c r="J13" s="42"/>
    </row>
    <row r="14" outlineLevel="2">
      <c r="A14" s="34" t="s">
        <v>26</v>
      </c>
      <c r="B14" s="35" t="s">
        <v>27</v>
      </c>
      <c r="C14" s="36"/>
      <c r="D14" s="37">
        <v>1.0</v>
      </c>
      <c r="E14" s="36"/>
      <c r="F14" s="36">
        <v>1.0</v>
      </c>
      <c r="G14" s="36"/>
      <c r="H14" s="38"/>
      <c r="I14" s="39">
        <f t="shared" si="5"/>
        <v>2</v>
      </c>
      <c r="J14" s="42"/>
    </row>
    <row r="15" outlineLevel="2">
      <c r="A15" s="34" t="s">
        <v>28</v>
      </c>
      <c r="B15" s="35" t="s">
        <v>29</v>
      </c>
      <c r="C15" s="36"/>
      <c r="D15" s="37">
        <v>3.0</v>
      </c>
      <c r="E15" s="36"/>
      <c r="F15" s="36">
        <v>1.0</v>
      </c>
      <c r="G15" s="36"/>
      <c r="H15" s="38"/>
      <c r="I15" s="39">
        <f t="shared" si="5"/>
        <v>4</v>
      </c>
      <c r="J15" s="42"/>
    </row>
    <row r="16" outlineLevel="2">
      <c r="A16" s="34" t="s">
        <v>30</v>
      </c>
      <c r="B16" s="35" t="s">
        <v>31</v>
      </c>
      <c r="C16" s="36"/>
      <c r="D16" s="37">
        <v>3.0</v>
      </c>
      <c r="E16" s="36"/>
      <c r="F16" s="36">
        <v>1.0</v>
      </c>
      <c r="G16" s="36"/>
      <c r="H16" s="38"/>
      <c r="I16" s="39">
        <f t="shared" si="5"/>
        <v>4</v>
      </c>
      <c r="J16" s="42"/>
    </row>
    <row r="17" outlineLevel="2">
      <c r="A17" s="34" t="s">
        <v>32</v>
      </c>
      <c r="B17" s="35" t="s">
        <v>33</v>
      </c>
      <c r="C17" s="36"/>
      <c r="D17" s="37">
        <v>3.0</v>
      </c>
      <c r="E17" s="36"/>
      <c r="F17" s="36">
        <v>1.0</v>
      </c>
      <c r="G17" s="36"/>
      <c r="H17" s="38"/>
      <c r="I17" s="39">
        <f t="shared" si="5"/>
        <v>4</v>
      </c>
      <c r="J17" s="42"/>
    </row>
    <row r="18" outlineLevel="1">
      <c r="A18" s="34" t="s">
        <v>34</v>
      </c>
      <c r="B18" s="35" t="s">
        <v>35</v>
      </c>
      <c r="C18" s="35"/>
      <c r="D18" s="37">
        <v>3.0</v>
      </c>
      <c r="E18" s="35"/>
      <c r="F18" s="36">
        <v>1.0</v>
      </c>
      <c r="G18" s="35"/>
      <c r="H18" s="35"/>
      <c r="I18" s="39">
        <f t="shared" si="5"/>
        <v>4</v>
      </c>
      <c r="J18" s="35"/>
    </row>
    <row r="19" outlineLevel="1">
      <c r="A19" s="34" t="s">
        <v>36</v>
      </c>
      <c r="B19" s="35" t="s">
        <v>37</v>
      </c>
      <c r="C19" s="35"/>
      <c r="D19" s="37">
        <v>3.0</v>
      </c>
      <c r="E19" s="35"/>
      <c r="F19" s="36">
        <v>1.0</v>
      </c>
      <c r="G19" s="35"/>
      <c r="H19" s="35"/>
      <c r="I19" s="39">
        <f t="shared" si="5"/>
        <v>4</v>
      </c>
      <c r="J19" s="35"/>
    </row>
    <row r="20" outlineLevel="1">
      <c r="A20" s="34" t="s">
        <v>38</v>
      </c>
      <c r="B20" s="35" t="s">
        <v>39</v>
      </c>
      <c r="C20" s="35"/>
      <c r="D20" s="37">
        <v>2.0</v>
      </c>
      <c r="E20" s="35"/>
      <c r="F20" s="36">
        <v>1.0</v>
      </c>
      <c r="G20" s="35"/>
      <c r="H20" s="35"/>
      <c r="I20" s="39">
        <f t="shared" si="5"/>
        <v>3</v>
      </c>
      <c r="J20" s="35"/>
    </row>
    <row r="21" outlineLevel="1">
      <c r="A21" s="34" t="s">
        <v>40</v>
      </c>
      <c r="B21" s="35" t="s">
        <v>41</v>
      </c>
      <c r="C21" s="35"/>
      <c r="D21" s="37">
        <v>3.0</v>
      </c>
      <c r="E21" s="35"/>
      <c r="F21" s="36">
        <v>1.0</v>
      </c>
      <c r="G21" s="35"/>
      <c r="H21" s="35"/>
      <c r="I21" s="39">
        <f t="shared" si="5"/>
        <v>4</v>
      </c>
      <c r="J21" s="35"/>
    </row>
    <row r="22" outlineLevel="1">
      <c r="A22" s="34" t="s">
        <v>42</v>
      </c>
      <c r="B22" s="35" t="s">
        <v>43</v>
      </c>
      <c r="C22" s="35"/>
      <c r="D22" s="37">
        <v>1.0</v>
      </c>
      <c r="E22" s="35"/>
      <c r="F22" s="36">
        <v>1.0</v>
      </c>
      <c r="G22" s="35"/>
      <c r="H22" s="35"/>
      <c r="I22" s="39">
        <f t="shared" si="5"/>
        <v>2</v>
      </c>
      <c r="J22" s="35"/>
    </row>
    <row r="23" outlineLevel="1">
      <c r="A23" s="34" t="s">
        <v>44</v>
      </c>
      <c r="B23" s="35" t="s">
        <v>45</v>
      </c>
      <c r="C23" s="43"/>
      <c r="D23" s="37">
        <v>2.0</v>
      </c>
      <c r="E23" s="43"/>
      <c r="F23" s="36">
        <v>1.0</v>
      </c>
      <c r="G23" s="43"/>
      <c r="H23" s="44"/>
      <c r="I23" s="39">
        <f t="shared" si="5"/>
        <v>3</v>
      </c>
      <c r="J23" s="45"/>
    </row>
    <row r="24" outlineLevel="1">
      <c r="A24" s="34" t="s">
        <v>46</v>
      </c>
      <c r="B24" s="36" t="s">
        <v>47</v>
      </c>
      <c r="C24" s="43"/>
      <c r="D24" s="37">
        <v>1.0</v>
      </c>
      <c r="E24" s="43"/>
      <c r="F24" s="36">
        <v>1.0</v>
      </c>
      <c r="G24" s="43"/>
      <c r="H24" s="44"/>
      <c r="I24" s="39">
        <f t="shared" si="5"/>
        <v>2</v>
      </c>
      <c r="J24" s="45"/>
    </row>
    <row r="25" outlineLevel="1">
      <c r="A25" s="27" t="s">
        <v>48</v>
      </c>
      <c r="B25" s="28"/>
      <c r="C25" s="29"/>
      <c r="D25" s="46"/>
      <c r="E25" s="29"/>
      <c r="F25" s="29"/>
      <c r="G25" s="29"/>
      <c r="H25" s="31"/>
      <c r="I25" s="32">
        <f>SUM(I26:I29)</f>
        <v>15</v>
      </c>
      <c r="J25" s="33">
        <f>I25*$C$4</f>
        <v>52500</v>
      </c>
    </row>
    <row r="26" outlineLevel="1">
      <c r="A26" s="34" t="s">
        <v>49</v>
      </c>
      <c r="B26" s="35" t="s">
        <v>50</v>
      </c>
      <c r="C26" s="43"/>
      <c r="D26" s="47"/>
      <c r="E26" s="36">
        <v>3.0</v>
      </c>
      <c r="F26" s="43"/>
      <c r="G26" s="43"/>
      <c r="H26" s="44"/>
      <c r="I26" s="39">
        <f t="shared" ref="I26:I29" si="6">SUM(C26:H26)</f>
        <v>3</v>
      </c>
      <c r="J26" s="45"/>
    </row>
    <row r="27" outlineLevel="1">
      <c r="A27" s="34" t="s">
        <v>51</v>
      </c>
      <c r="B27" s="41" t="s">
        <v>52</v>
      </c>
      <c r="C27" s="43"/>
      <c r="D27" s="47"/>
      <c r="E27" s="36">
        <v>4.0</v>
      </c>
      <c r="F27" s="43"/>
      <c r="G27" s="43"/>
      <c r="H27" s="44"/>
      <c r="I27" s="39">
        <f t="shared" si="6"/>
        <v>4</v>
      </c>
      <c r="J27" s="45"/>
    </row>
    <row r="28" outlineLevel="1">
      <c r="A28" s="34" t="s">
        <v>53</v>
      </c>
      <c r="B28" s="48" t="s">
        <v>54</v>
      </c>
      <c r="C28" s="43"/>
      <c r="D28" s="47"/>
      <c r="E28" s="36">
        <v>4.0</v>
      </c>
      <c r="F28" s="43"/>
      <c r="G28" s="43"/>
      <c r="H28" s="44"/>
      <c r="I28" s="39">
        <f t="shared" si="6"/>
        <v>4</v>
      </c>
      <c r="J28" s="45"/>
    </row>
    <row r="29" outlineLevel="1">
      <c r="A29" s="34" t="s">
        <v>55</v>
      </c>
      <c r="B29" s="35" t="s">
        <v>56</v>
      </c>
      <c r="C29" s="43"/>
      <c r="D29" s="47"/>
      <c r="E29" s="36">
        <v>4.0</v>
      </c>
      <c r="F29" s="43"/>
      <c r="G29" s="43"/>
      <c r="H29" s="44"/>
      <c r="I29" s="39">
        <f t="shared" si="6"/>
        <v>4</v>
      </c>
      <c r="J29" s="45"/>
    </row>
    <row r="30" outlineLevel="1">
      <c r="A30" s="27" t="s">
        <v>57</v>
      </c>
      <c r="B30" s="28"/>
      <c r="C30" s="29"/>
      <c r="D30" s="46"/>
      <c r="E30" s="29"/>
      <c r="F30" s="29"/>
      <c r="G30" s="29"/>
      <c r="H30" s="31"/>
      <c r="I30" s="32">
        <f>SUM(I31:I34)</f>
        <v>20</v>
      </c>
      <c r="J30" s="33">
        <f>I30*$C$4</f>
        <v>70000</v>
      </c>
    </row>
    <row r="31" outlineLevel="2">
      <c r="A31" s="34" t="s">
        <v>58</v>
      </c>
      <c r="B31" s="35" t="s">
        <v>59</v>
      </c>
      <c r="C31" s="36"/>
      <c r="D31" s="37"/>
      <c r="E31" s="36">
        <v>4.0</v>
      </c>
      <c r="F31" s="36"/>
      <c r="G31" s="36"/>
      <c r="H31" s="38"/>
      <c r="I31" s="39">
        <f t="shared" ref="I31:I34" si="7">SUM(C31:H31)</f>
        <v>4</v>
      </c>
      <c r="J31" s="40"/>
    </row>
    <row r="32" outlineLevel="2">
      <c r="A32" s="34" t="s">
        <v>60</v>
      </c>
      <c r="B32" s="35" t="s">
        <v>61</v>
      </c>
      <c r="C32" s="36"/>
      <c r="D32" s="37"/>
      <c r="E32" s="36">
        <v>4.0</v>
      </c>
      <c r="F32" s="36"/>
      <c r="G32" s="36"/>
      <c r="H32" s="38"/>
      <c r="I32" s="39">
        <f t="shared" si="7"/>
        <v>4</v>
      </c>
      <c r="J32" s="40"/>
    </row>
    <row r="33" outlineLevel="2">
      <c r="A33" s="34" t="s">
        <v>62</v>
      </c>
      <c r="B33" s="35" t="s">
        <v>63</v>
      </c>
      <c r="C33" s="36"/>
      <c r="D33" s="37"/>
      <c r="E33" s="36">
        <v>5.0</v>
      </c>
      <c r="F33" s="36"/>
      <c r="G33" s="36"/>
      <c r="H33" s="38"/>
      <c r="I33" s="39">
        <f t="shared" si="7"/>
        <v>5</v>
      </c>
      <c r="J33" s="40"/>
    </row>
    <row r="34" outlineLevel="2">
      <c r="A34" s="34" t="s">
        <v>64</v>
      </c>
      <c r="B34" s="35" t="s">
        <v>65</v>
      </c>
      <c r="C34" s="36"/>
      <c r="D34" s="37"/>
      <c r="E34" s="36">
        <v>7.0</v>
      </c>
      <c r="F34" s="36"/>
      <c r="G34" s="36"/>
      <c r="H34" s="38"/>
      <c r="I34" s="39">
        <f t="shared" si="7"/>
        <v>7</v>
      </c>
      <c r="J34" s="40"/>
    </row>
    <row r="35" outlineLevel="1">
      <c r="A35" s="27" t="s">
        <v>66</v>
      </c>
      <c r="B35" s="28"/>
      <c r="C35" s="46"/>
      <c r="D35" s="46"/>
      <c r="E35" s="29"/>
      <c r="F35" s="29"/>
      <c r="G35" s="29"/>
      <c r="H35" s="31"/>
      <c r="I35" s="32">
        <f>SUM(I36:I40)</f>
        <v>40</v>
      </c>
      <c r="J35" s="33">
        <f>I35*$C$4</f>
        <v>140000</v>
      </c>
    </row>
    <row r="36" outlineLevel="2">
      <c r="A36" s="34" t="s">
        <v>67</v>
      </c>
      <c r="B36" s="35" t="s">
        <v>68</v>
      </c>
      <c r="C36" s="37"/>
      <c r="D36" s="37"/>
      <c r="E36" s="36">
        <v>8.0</v>
      </c>
      <c r="F36" s="36"/>
      <c r="G36" s="36"/>
      <c r="H36" s="49"/>
      <c r="I36" s="39">
        <f t="shared" ref="I36:I40" si="8">SUM(C36:H36)</f>
        <v>8</v>
      </c>
      <c r="J36" s="40"/>
    </row>
    <row r="37" outlineLevel="2">
      <c r="A37" s="34" t="s">
        <v>69</v>
      </c>
      <c r="B37" s="35" t="s">
        <v>70</v>
      </c>
      <c r="C37" s="37"/>
      <c r="D37" s="37"/>
      <c r="E37" s="36">
        <v>8.0</v>
      </c>
      <c r="F37" s="36"/>
      <c r="G37" s="36"/>
      <c r="H37" s="49"/>
      <c r="I37" s="39">
        <f t="shared" si="8"/>
        <v>8</v>
      </c>
      <c r="J37" s="40"/>
    </row>
    <row r="38" outlineLevel="2">
      <c r="A38" s="34" t="s">
        <v>71</v>
      </c>
      <c r="B38" s="35" t="s">
        <v>72</v>
      </c>
      <c r="C38" s="37"/>
      <c r="D38" s="37"/>
      <c r="E38" s="36">
        <v>8.0</v>
      </c>
      <c r="F38" s="36"/>
      <c r="G38" s="36"/>
      <c r="H38" s="49"/>
      <c r="I38" s="39">
        <f t="shared" si="8"/>
        <v>8</v>
      </c>
      <c r="J38" s="40"/>
    </row>
    <row r="39" outlineLevel="2">
      <c r="A39" s="34" t="s">
        <v>73</v>
      </c>
      <c r="B39" s="35" t="s">
        <v>74</v>
      </c>
      <c r="C39" s="37"/>
      <c r="D39" s="37"/>
      <c r="E39" s="36">
        <v>8.0</v>
      </c>
      <c r="F39" s="36"/>
      <c r="G39" s="36"/>
      <c r="H39" s="49"/>
      <c r="I39" s="39">
        <f t="shared" si="8"/>
        <v>8</v>
      </c>
      <c r="J39" s="40"/>
    </row>
    <row r="40" outlineLevel="2">
      <c r="A40" s="34" t="s">
        <v>75</v>
      </c>
      <c r="B40" s="35" t="s">
        <v>76</v>
      </c>
      <c r="C40" s="37"/>
      <c r="D40" s="37"/>
      <c r="E40" s="36">
        <v>8.0</v>
      </c>
      <c r="F40" s="36"/>
      <c r="G40" s="36"/>
      <c r="H40" s="49"/>
      <c r="I40" s="39">
        <f t="shared" si="8"/>
        <v>8</v>
      </c>
      <c r="J40" s="40"/>
    </row>
    <row r="41" outlineLevel="1">
      <c r="A41" s="27" t="s">
        <v>77</v>
      </c>
      <c r="B41" s="28"/>
      <c r="C41" s="46"/>
      <c r="D41" s="46"/>
      <c r="E41" s="29"/>
      <c r="F41" s="29"/>
      <c r="G41" s="29"/>
      <c r="H41" s="31"/>
      <c r="I41" s="32">
        <f>SUM(I42:I44)</f>
        <v>12</v>
      </c>
      <c r="J41" s="33">
        <f>I41*$C$4</f>
        <v>42000</v>
      </c>
    </row>
    <row r="42" outlineLevel="2">
      <c r="A42" s="34" t="s">
        <v>78</v>
      </c>
      <c r="B42" s="35" t="s">
        <v>79</v>
      </c>
      <c r="C42" s="37"/>
      <c r="D42" s="37"/>
      <c r="E42" s="36">
        <v>4.0</v>
      </c>
      <c r="F42" s="36"/>
      <c r="G42" s="36"/>
      <c r="H42" s="49"/>
      <c r="I42" s="39">
        <f t="shared" ref="I42:I44" si="9">SUM(C42:H42)</f>
        <v>4</v>
      </c>
      <c r="J42" s="40"/>
    </row>
    <row r="43" outlineLevel="2">
      <c r="A43" s="34" t="s">
        <v>80</v>
      </c>
      <c r="B43" s="35" t="s">
        <v>81</v>
      </c>
      <c r="C43" s="37"/>
      <c r="D43" s="37"/>
      <c r="E43" s="36">
        <v>4.0</v>
      </c>
      <c r="F43" s="36"/>
      <c r="G43" s="36"/>
      <c r="H43" s="49"/>
      <c r="I43" s="39">
        <f t="shared" si="9"/>
        <v>4</v>
      </c>
      <c r="J43" s="40"/>
    </row>
    <row r="44" outlineLevel="2">
      <c r="A44" s="34" t="s">
        <v>82</v>
      </c>
      <c r="B44" s="35" t="s">
        <v>83</v>
      </c>
      <c r="C44" s="37"/>
      <c r="D44" s="37"/>
      <c r="E44" s="36">
        <v>4.0</v>
      </c>
      <c r="F44" s="36"/>
      <c r="G44" s="36"/>
      <c r="H44" s="49"/>
      <c r="I44" s="39">
        <f t="shared" si="9"/>
        <v>4</v>
      </c>
      <c r="J44" s="40"/>
    </row>
    <row r="45" outlineLevel="1">
      <c r="A45" s="50" t="s">
        <v>84</v>
      </c>
      <c r="B45" s="28"/>
      <c r="C45" s="46"/>
      <c r="D45" s="46"/>
      <c r="E45" s="29"/>
      <c r="F45" s="29"/>
      <c r="G45" s="29"/>
      <c r="H45" s="31"/>
      <c r="I45" s="32">
        <f>SUM(I46)</f>
        <v>4</v>
      </c>
      <c r="J45" s="33">
        <f>I45*$C$4</f>
        <v>14000</v>
      </c>
    </row>
    <row r="46" outlineLevel="2">
      <c r="A46" s="34" t="s">
        <v>85</v>
      </c>
      <c r="B46" s="35" t="s">
        <v>86</v>
      </c>
      <c r="C46" s="37"/>
      <c r="D46" s="37"/>
      <c r="E46" s="36">
        <v>4.0</v>
      </c>
      <c r="F46" s="36"/>
      <c r="G46" s="36"/>
      <c r="H46" s="49"/>
      <c r="I46" s="39">
        <f t="shared" ref="I46:I49" si="11">SUM(C46:H46)</f>
        <v>4</v>
      </c>
      <c r="J46" s="40"/>
    </row>
    <row r="47">
      <c r="A47" s="23" t="s">
        <v>87</v>
      </c>
      <c r="B47" s="51"/>
      <c r="C47" s="52">
        <f t="shared" ref="C47:H47" si="10">SUM(C48:C49)</f>
        <v>14</v>
      </c>
      <c r="D47" s="52">
        <f t="shared" si="10"/>
        <v>8</v>
      </c>
      <c r="E47" s="52">
        <f t="shared" si="10"/>
        <v>16</v>
      </c>
      <c r="F47" s="52">
        <f t="shared" si="10"/>
        <v>0</v>
      </c>
      <c r="G47" s="52">
        <f t="shared" si="10"/>
        <v>0</v>
      </c>
      <c r="H47" s="52">
        <f t="shared" si="10"/>
        <v>14</v>
      </c>
      <c r="I47" s="25">
        <f t="shared" si="11"/>
        <v>52</v>
      </c>
      <c r="J47" s="16">
        <f>I47*$C$4</f>
        <v>182000</v>
      </c>
    </row>
    <row r="48" outlineLevel="1">
      <c r="A48" s="17" t="s">
        <v>88</v>
      </c>
      <c r="B48" s="36" t="s">
        <v>89</v>
      </c>
      <c r="C48" s="20">
        <v>2.0</v>
      </c>
      <c r="D48" s="20">
        <v>8.0</v>
      </c>
      <c r="E48" s="19">
        <v>16.0</v>
      </c>
      <c r="F48" s="20"/>
      <c r="G48" s="20"/>
      <c r="H48" s="20">
        <v>14.0</v>
      </c>
      <c r="I48" s="39">
        <f t="shared" si="11"/>
        <v>40</v>
      </c>
      <c r="J48" s="22"/>
    </row>
    <row r="49" outlineLevel="1">
      <c r="A49" s="17" t="s">
        <v>90</v>
      </c>
      <c r="B49" s="36" t="s">
        <v>91</v>
      </c>
      <c r="C49" s="20">
        <v>12.0</v>
      </c>
      <c r="D49" s="20"/>
      <c r="E49" s="19"/>
      <c r="F49" s="20"/>
      <c r="G49" s="20"/>
      <c r="H49" s="20"/>
      <c r="I49" s="39">
        <f t="shared" si="11"/>
        <v>12</v>
      </c>
      <c r="J49" s="22"/>
    </row>
    <row r="50">
      <c r="A50" s="53"/>
      <c r="B50" s="54" t="s">
        <v>92</v>
      </c>
      <c r="I50" s="55">
        <f>I5+I10+I47</f>
        <v>203</v>
      </c>
      <c r="J50" s="16">
        <f>I50*$C$4</f>
        <v>710500</v>
      </c>
      <c r="K50" s="56"/>
    </row>
    <row r="51">
      <c r="A51" s="57"/>
      <c r="B51" s="58"/>
      <c r="C51" s="11"/>
      <c r="D51" s="11"/>
      <c r="E51" s="11"/>
      <c r="F51" s="11"/>
      <c r="G51" s="11"/>
      <c r="H51" s="11"/>
      <c r="I51" s="11"/>
      <c r="J51" s="12"/>
    </row>
    <row r="52">
      <c r="A52" s="57"/>
      <c r="B52" s="58"/>
      <c r="C52" s="11"/>
      <c r="D52" s="11"/>
      <c r="E52" s="11"/>
      <c r="F52" s="11"/>
      <c r="G52" s="11"/>
      <c r="H52" s="11"/>
      <c r="I52" s="11"/>
      <c r="J52" s="12"/>
    </row>
    <row r="53">
      <c r="A53" s="57"/>
      <c r="B53" s="59" t="s">
        <v>92</v>
      </c>
      <c r="C53" s="60"/>
      <c r="D53" s="60"/>
      <c r="E53" s="60"/>
      <c r="F53" s="60"/>
      <c r="G53" s="60"/>
      <c r="H53" s="60"/>
      <c r="I53" s="60"/>
      <c r="J53" s="61">
        <f>I50</f>
        <v>203</v>
      </c>
    </row>
    <row r="54">
      <c r="A54" s="57"/>
      <c r="B54" s="59" t="s">
        <v>93</v>
      </c>
      <c r="C54" s="60"/>
      <c r="D54" s="60"/>
      <c r="E54" s="60"/>
      <c r="F54" s="60"/>
      <c r="G54" s="60"/>
      <c r="H54" s="60"/>
      <c r="I54" s="60"/>
      <c r="J54" s="62">
        <v>45843.0</v>
      </c>
    </row>
    <row r="55">
      <c r="A55" s="63"/>
      <c r="B55" s="64" t="s">
        <v>92</v>
      </c>
      <c r="C55" s="65"/>
      <c r="D55" s="65"/>
      <c r="E55" s="65"/>
      <c r="F55" s="65"/>
      <c r="G55" s="65"/>
      <c r="H55" s="65"/>
      <c r="I55" s="65"/>
      <c r="J55" s="66">
        <f>J53*C4</f>
        <v>710500</v>
      </c>
    </row>
    <row r="56">
      <c r="A56" s="67"/>
      <c r="B56" s="68"/>
      <c r="C56" s="67"/>
      <c r="D56" s="67"/>
      <c r="E56" s="67"/>
      <c r="F56" s="67"/>
      <c r="G56" s="67"/>
      <c r="H56" s="67"/>
      <c r="I56" s="67"/>
      <c r="J56" s="69"/>
      <c r="K56" s="41"/>
    </row>
    <row r="57">
      <c r="A57" s="67"/>
      <c r="B57" s="68"/>
      <c r="C57" s="67"/>
      <c r="D57" s="67"/>
      <c r="E57" s="67"/>
      <c r="F57" s="67"/>
      <c r="G57" s="67"/>
      <c r="H57" s="67"/>
      <c r="I57" s="67"/>
      <c r="J57" s="69"/>
      <c r="K57" s="41"/>
    </row>
    <row r="58">
      <c r="A58" s="67"/>
      <c r="B58" s="68"/>
      <c r="C58" s="67"/>
      <c r="D58" s="67"/>
      <c r="E58" s="67"/>
      <c r="F58" s="67"/>
      <c r="G58" s="67"/>
      <c r="H58" s="67"/>
      <c r="I58" s="67"/>
      <c r="J58" s="69"/>
      <c r="K58" s="41"/>
    </row>
    <row r="59">
      <c r="A59" s="67"/>
      <c r="B59" s="68"/>
      <c r="C59" s="67"/>
      <c r="D59" s="67"/>
      <c r="E59" s="67"/>
      <c r="F59" s="67"/>
      <c r="G59" s="67"/>
      <c r="H59" s="67"/>
      <c r="I59" s="67"/>
      <c r="J59" s="69"/>
      <c r="K59" s="41"/>
    </row>
    <row r="60">
      <c r="A60" s="67"/>
      <c r="B60" s="68"/>
      <c r="C60" s="67"/>
      <c r="D60" s="67"/>
      <c r="E60" s="67"/>
      <c r="F60" s="67"/>
      <c r="G60" s="67"/>
      <c r="H60" s="67"/>
      <c r="I60" s="67"/>
      <c r="J60" s="69"/>
      <c r="K60" s="41"/>
    </row>
    <row r="61">
      <c r="A61" s="67"/>
      <c r="B61" s="68"/>
      <c r="C61" s="67"/>
      <c r="D61" s="67"/>
      <c r="E61" s="67"/>
      <c r="F61" s="67"/>
      <c r="G61" s="67"/>
      <c r="H61" s="67"/>
      <c r="I61" s="67"/>
      <c r="J61" s="69"/>
      <c r="K61" s="41"/>
    </row>
    <row r="62">
      <c r="A62" s="67"/>
      <c r="B62" s="68"/>
      <c r="C62" s="67"/>
      <c r="D62" s="67"/>
      <c r="E62" s="67"/>
      <c r="F62" s="67"/>
      <c r="G62" s="67"/>
      <c r="H62" s="67"/>
      <c r="I62" s="67"/>
      <c r="J62" s="69"/>
      <c r="K62" s="41"/>
    </row>
    <row r="63">
      <c r="A63" s="67"/>
      <c r="B63" s="68"/>
      <c r="C63" s="67"/>
      <c r="D63" s="67"/>
      <c r="E63" s="67"/>
      <c r="F63" s="67"/>
      <c r="G63" s="67"/>
      <c r="H63" s="67"/>
      <c r="I63" s="67"/>
      <c r="J63" s="69"/>
      <c r="K63" s="41"/>
    </row>
    <row r="64">
      <c r="A64" s="67"/>
      <c r="B64" s="68"/>
      <c r="C64" s="67"/>
      <c r="D64" s="67"/>
      <c r="E64" s="67"/>
      <c r="F64" s="67"/>
      <c r="G64" s="67"/>
      <c r="H64" s="67"/>
      <c r="I64" s="67"/>
      <c r="J64" s="69"/>
      <c r="K64" s="41"/>
    </row>
    <row r="65">
      <c r="A65" s="67"/>
      <c r="B65" s="68"/>
      <c r="C65" s="67"/>
      <c r="D65" s="67"/>
      <c r="E65" s="67"/>
      <c r="F65" s="67"/>
      <c r="G65" s="67"/>
      <c r="H65" s="67"/>
      <c r="I65" s="67"/>
      <c r="J65" s="69"/>
      <c r="K65" s="41"/>
    </row>
    <row r="66">
      <c r="A66" s="67"/>
      <c r="B66" s="68"/>
      <c r="C66" s="67"/>
      <c r="D66" s="67"/>
      <c r="E66" s="67"/>
      <c r="F66" s="67"/>
      <c r="G66" s="67"/>
      <c r="H66" s="67"/>
      <c r="I66" s="67"/>
      <c r="J66" s="69"/>
      <c r="K66" s="41"/>
    </row>
    <row r="67">
      <c r="A67" s="67"/>
      <c r="B67" s="68"/>
      <c r="C67" s="67"/>
      <c r="D67" s="67"/>
      <c r="E67" s="67"/>
      <c r="F67" s="67"/>
      <c r="G67" s="67"/>
      <c r="H67" s="67"/>
      <c r="I67" s="67"/>
      <c r="J67" s="69"/>
      <c r="K67" s="41"/>
    </row>
    <row r="68">
      <c r="A68" s="67"/>
      <c r="B68" s="68"/>
      <c r="C68" s="67"/>
      <c r="D68" s="67"/>
      <c r="E68" s="67"/>
      <c r="F68" s="67"/>
      <c r="G68" s="67"/>
      <c r="H68" s="67"/>
      <c r="I68" s="67"/>
      <c r="J68" s="69"/>
      <c r="K68" s="41"/>
    </row>
    <row r="69">
      <c r="A69" s="67"/>
      <c r="B69" s="68"/>
      <c r="C69" s="67"/>
      <c r="D69" s="67"/>
      <c r="E69" s="67"/>
      <c r="F69" s="67"/>
      <c r="G69" s="67"/>
      <c r="H69" s="67"/>
      <c r="I69" s="67"/>
      <c r="J69" s="69"/>
      <c r="K69" s="41"/>
    </row>
    <row r="70">
      <c r="A70" s="67"/>
      <c r="B70" s="68"/>
      <c r="C70" s="67"/>
      <c r="D70" s="67"/>
      <c r="E70" s="67"/>
      <c r="F70" s="67"/>
      <c r="G70" s="67"/>
      <c r="H70" s="67"/>
      <c r="I70" s="67"/>
      <c r="J70" s="69"/>
      <c r="K70" s="41"/>
    </row>
    <row r="71">
      <c r="A71" s="67"/>
      <c r="B71" s="68"/>
      <c r="C71" s="67"/>
      <c r="D71" s="67"/>
      <c r="E71" s="67"/>
      <c r="F71" s="67"/>
      <c r="G71" s="67"/>
      <c r="H71" s="67"/>
      <c r="I71" s="67"/>
      <c r="J71" s="69"/>
      <c r="K71" s="41"/>
    </row>
    <row r="72">
      <c r="A72" s="67"/>
      <c r="B72" s="68"/>
      <c r="C72" s="67"/>
      <c r="D72" s="67"/>
      <c r="E72" s="67"/>
      <c r="F72" s="67"/>
      <c r="G72" s="67"/>
      <c r="H72" s="67"/>
      <c r="I72" s="67"/>
      <c r="J72" s="69"/>
      <c r="K72" s="41"/>
    </row>
    <row r="73">
      <c r="B73" s="70"/>
      <c r="J73" s="71"/>
    </row>
    <row r="74">
      <c r="B74" s="70"/>
      <c r="J74" s="71"/>
    </row>
    <row r="75">
      <c r="B75" s="70"/>
      <c r="J75" s="71"/>
    </row>
    <row r="76">
      <c r="B76" s="70"/>
      <c r="J76" s="71"/>
    </row>
    <row r="77">
      <c r="B77" s="70"/>
      <c r="J77" s="71"/>
    </row>
    <row r="78">
      <c r="B78" s="70"/>
      <c r="J78" s="71"/>
    </row>
    <row r="79">
      <c r="B79" s="70"/>
      <c r="J79" s="71"/>
    </row>
    <row r="80">
      <c r="A80" s="72"/>
      <c r="B80" s="73"/>
      <c r="C80" s="74"/>
      <c r="D80" s="75"/>
      <c r="E80" s="72"/>
      <c r="F80" s="72"/>
      <c r="G80" s="72"/>
      <c r="H80" s="72"/>
      <c r="I80" s="72"/>
      <c r="J80" s="76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</row>
    <row r="81">
      <c r="B81" s="70"/>
      <c r="J81" s="71"/>
    </row>
    <row r="82">
      <c r="B82" s="70"/>
      <c r="J82" s="71"/>
    </row>
    <row r="83">
      <c r="B83" s="70"/>
      <c r="J83" s="71"/>
    </row>
    <row r="84">
      <c r="B84" s="70"/>
      <c r="J84" s="71"/>
    </row>
    <row r="85">
      <c r="B85" s="70"/>
      <c r="J85" s="71"/>
    </row>
    <row r="86">
      <c r="B86" s="70"/>
      <c r="J86" s="71"/>
    </row>
    <row r="87">
      <c r="B87" s="70"/>
      <c r="J87" s="71"/>
    </row>
    <row r="88">
      <c r="B88" s="70"/>
      <c r="J88" s="71"/>
    </row>
    <row r="89">
      <c r="B89" s="70"/>
      <c r="J89" s="71"/>
    </row>
    <row r="90">
      <c r="B90" s="70"/>
      <c r="J90" s="71"/>
    </row>
    <row r="91">
      <c r="B91" s="70"/>
      <c r="J91" s="71"/>
    </row>
    <row r="92">
      <c r="B92" s="70"/>
      <c r="J92" s="71"/>
    </row>
    <row r="93">
      <c r="B93" s="70"/>
      <c r="J93" s="71"/>
    </row>
    <row r="94">
      <c r="B94" s="70"/>
      <c r="J94" s="71"/>
    </row>
    <row r="95">
      <c r="B95" s="70"/>
      <c r="J95" s="71"/>
    </row>
    <row r="96">
      <c r="B96" s="70"/>
      <c r="J96" s="71"/>
    </row>
    <row r="97">
      <c r="B97" s="70"/>
      <c r="J97" s="71"/>
    </row>
    <row r="98">
      <c r="B98" s="70"/>
      <c r="J98" s="71"/>
    </row>
    <row r="99">
      <c r="B99" s="70"/>
      <c r="J99" s="71"/>
    </row>
    <row r="100">
      <c r="B100" s="70"/>
      <c r="J100" s="71"/>
    </row>
    <row r="101">
      <c r="B101" s="70"/>
      <c r="J101" s="71"/>
    </row>
    <row r="102">
      <c r="B102" s="70"/>
      <c r="J102" s="71"/>
    </row>
    <row r="103">
      <c r="B103" s="70"/>
      <c r="J103" s="71"/>
    </row>
    <row r="104">
      <c r="B104" s="70"/>
      <c r="J104" s="71"/>
    </row>
    <row r="105">
      <c r="B105" s="70"/>
      <c r="J105" s="71"/>
    </row>
    <row r="106">
      <c r="B106" s="70"/>
      <c r="J106" s="71"/>
    </row>
    <row r="107">
      <c r="B107" s="70"/>
      <c r="J107" s="71"/>
    </row>
    <row r="108">
      <c r="B108" s="70"/>
      <c r="J108" s="71"/>
    </row>
    <row r="109">
      <c r="B109" s="70"/>
      <c r="J109" s="71"/>
    </row>
    <row r="110">
      <c r="B110" s="70"/>
      <c r="J110" s="71"/>
    </row>
    <row r="111">
      <c r="B111" s="70"/>
      <c r="J111" s="71"/>
    </row>
    <row r="112">
      <c r="B112" s="70"/>
      <c r="J112" s="71"/>
    </row>
    <row r="113">
      <c r="B113" s="70"/>
      <c r="J113" s="71"/>
    </row>
    <row r="114">
      <c r="B114" s="70"/>
      <c r="J114" s="71"/>
    </row>
    <row r="115">
      <c r="B115" s="70"/>
      <c r="J115" s="71"/>
    </row>
    <row r="116">
      <c r="B116" s="70"/>
      <c r="J116" s="71"/>
    </row>
    <row r="117">
      <c r="B117" s="70"/>
      <c r="J117" s="71"/>
    </row>
    <row r="118">
      <c r="B118" s="70"/>
      <c r="J118" s="71"/>
    </row>
    <row r="119">
      <c r="B119" s="70"/>
      <c r="J119" s="71"/>
    </row>
    <row r="120">
      <c r="B120" s="70"/>
      <c r="J120" s="71"/>
    </row>
    <row r="121">
      <c r="B121" s="70"/>
      <c r="J121" s="71"/>
    </row>
    <row r="122">
      <c r="B122" s="70"/>
      <c r="J122" s="71"/>
    </row>
    <row r="123">
      <c r="B123" s="70"/>
      <c r="J123" s="71"/>
    </row>
    <row r="124">
      <c r="B124" s="70"/>
      <c r="J124" s="71"/>
    </row>
    <row r="125">
      <c r="B125" s="70"/>
      <c r="J125" s="71"/>
    </row>
    <row r="126">
      <c r="B126" s="70"/>
      <c r="J126" s="71"/>
    </row>
    <row r="127">
      <c r="B127" s="70"/>
      <c r="J127" s="71"/>
    </row>
    <row r="128">
      <c r="B128" s="70"/>
      <c r="J128" s="71"/>
    </row>
    <row r="129">
      <c r="B129" s="70"/>
      <c r="J129" s="71"/>
    </row>
    <row r="130">
      <c r="B130" s="70"/>
      <c r="J130" s="71"/>
    </row>
    <row r="131">
      <c r="B131" s="70"/>
      <c r="J131" s="71"/>
    </row>
    <row r="132">
      <c r="B132" s="70"/>
      <c r="J132" s="71"/>
    </row>
    <row r="133">
      <c r="B133" s="70"/>
      <c r="J133" s="71"/>
    </row>
    <row r="134">
      <c r="B134" s="70"/>
      <c r="J134" s="71"/>
    </row>
    <row r="135">
      <c r="B135" s="70"/>
      <c r="J135" s="71"/>
    </row>
    <row r="136">
      <c r="B136" s="70"/>
      <c r="J136" s="71"/>
    </row>
    <row r="137">
      <c r="B137" s="70"/>
      <c r="J137" s="71"/>
    </row>
    <row r="138">
      <c r="B138" s="70"/>
      <c r="J138" s="71"/>
    </row>
    <row r="139">
      <c r="B139" s="70"/>
      <c r="J139" s="71"/>
    </row>
    <row r="140">
      <c r="B140" s="70"/>
      <c r="J140" s="71"/>
    </row>
    <row r="141">
      <c r="B141" s="70"/>
      <c r="J141" s="71"/>
    </row>
    <row r="142">
      <c r="B142" s="70"/>
      <c r="J142" s="71"/>
    </row>
    <row r="143">
      <c r="B143" s="70"/>
      <c r="J143" s="71"/>
    </row>
    <row r="144">
      <c r="B144" s="70"/>
      <c r="J144" s="71"/>
    </row>
    <row r="145">
      <c r="B145" s="70"/>
      <c r="J145" s="71"/>
    </row>
    <row r="146">
      <c r="B146" s="70"/>
      <c r="J146" s="71"/>
    </row>
    <row r="147">
      <c r="B147" s="70"/>
      <c r="J147" s="71"/>
    </row>
    <row r="148">
      <c r="B148" s="70"/>
      <c r="J148" s="71"/>
    </row>
    <row r="149">
      <c r="B149" s="70"/>
      <c r="J149" s="71"/>
    </row>
    <row r="150">
      <c r="B150" s="70"/>
      <c r="J150" s="71"/>
    </row>
    <row r="151">
      <c r="B151" s="70"/>
      <c r="J151" s="71"/>
    </row>
    <row r="152">
      <c r="B152" s="70"/>
      <c r="J152" s="71"/>
    </row>
    <row r="153">
      <c r="B153" s="70"/>
      <c r="J153" s="71"/>
    </row>
    <row r="154">
      <c r="B154" s="70"/>
      <c r="J154" s="71"/>
    </row>
    <row r="155">
      <c r="B155" s="70"/>
      <c r="J155" s="71"/>
    </row>
    <row r="156">
      <c r="B156" s="70"/>
      <c r="J156" s="71"/>
    </row>
    <row r="157">
      <c r="B157" s="70"/>
      <c r="J157" s="71"/>
    </row>
    <row r="158">
      <c r="B158" s="70"/>
      <c r="J158" s="71"/>
    </row>
    <row r="159">
      <c r="B159" s="70"/>
      <c r="J159" s="71"/>
    </row>
    <row r="160">
      <c r="B160" s="70"/>
      <c r="J160" s="71"/>
    </row>
    <row r="161">
      <c r="B161" s="70"/>
      <c r="J161" s="71"/>
    </row>
    <row r="162">
      <c r="B162" s="70"/>
      <c r="J162" s="71"/>
    </row>
    <row r="163">
      <c r="B163" s="70"/>
      <c r="J163" s="71"/>
    </row>
    <row r="164">
      <c r="B164" s="70"/>
      <c r="J164" s="71"/>
    </row>
    <row r="165">
      <c r="B165" s="70"/>
      <c r="J165" s="71"/>
    </row>
    <row r="166">
      <c r="B166" s="70"/>
      <c r="J166" s="71"/>
    </row>
    <row r="167">
      <c r="B167" s="70"/>
      <c r="J167" s="71"/>
    </row>
    <row r="168">
      <c r="B168" s="70"/>
      <c r="J168" s="71"/>
    </row>
    <row r="169">
      <c r="B169" s="70"/>
      <c r="J169" s="71"/>
    </row>
    <row r="170">
      <c r="B170" s="70"/>
      <c r="J170" s="71"/>
    </row>
    <row r="171">
      <c r="B171" s="70"/>
      <c r="J171" s="71"/>
    </row>
    <row r="172">
      <c r="B172" s="70"/>
      <c r="J172" s="71"/>
    </row>
    <row r="173">
      <c r="B173" s="70"/>
      <c r="J173" s="71"/>
    </row>
    <row r="174">
      <c r="B174" s="70"/>
      <c r="J174" s="71"/>
    </row>
    <row r="175">
      <c r="B175" s="70"/>
      <c r="J175" s="71"/>
    </row>
    <row r="176">
      <c r="B176" s="70"/>
      <c r="J176" s="71"/>
    </row>
    <row r="177">
      <c r="B177" s="70"/>
      <c r="J177" s="71"/>
    </row>
    <row r="178">
      <c r="B178" s="70"/>
      <c r="J178" s="71"/>
    </row>
    <row r="179">
      <c r="B179" s="70"/>
      <c r="J179" s="71"/>
    </row>
    <row r="180">
      <c r="B180" s="70"/>
      <c r="J180" s="71"/>
    </row>
    <row r="181">
      <c r="B181" s="70"/>
      <c r="J181" s="71"/>
    </row>
    <row r="182">
      <c r="B182" s="70"/>
      <c r="J182" s="71"/>
    </row>
    <row r="183">
      <c r="B183" s="70"/>
      <c r="J183" s="71"/>
    </row>
    <row r="184">
      <c r="B184" s="70"/>
      <c r="J184" s="71"/>
    </row>
    <row r="185">
      <c r="B185" s="70"/>
      <c r="J185" s="71"/>
    </row>
    <row r="186">
      <c r="B186" s="70"/>
      <c r="J186" s="71"/>
    </row>
    <row r="187">
      <c r="B187" s="70"/>
      <c r="J187" s="71"/>
    </row>
    <row r="188">
      <c r="B188" s="70"/>
      <c r="J188" s="71"/>
    </row>
    <row r="189">
      <c r="B189" s="70"/>
      <c r="J189" s="71"/>
    </row>
    <row r="190">
      <c r="B190" s="70"/>
      <c r="J190" s="71"/>
    </row>
    <row r="191">
      <c r="B191" s="70"/>
      <c r="J191" s="71"/>
    </row>
    <row r="192">
      <c r="B192" s="70"/>
      <c r="J192" s="71"/>
    </row>
    <row r="193">
      <c r="B193" s="70"/>
      <c r="J193" s="71"/>
    </row>
    <row r="194">
      <c r="B194" s="70"/>
      <c r="J194" s="71"/>
    </row>
    <row r="195">
      <c r="B195" s="70"/>
      <c r="J195" s="71"/>
    </row>
    <row r="196">
      <c r="B196" s="70"/>
      <c r="J196" s="71"/>
    </row>
    <row r="197">
      <c r="B197" s="70"/>
      <c r="J197" s="71"/>
    </row>
    <row r="198">
      <c r="B198" s="70"/>
      <c r="J198" s="71"/>
    </row>
    <row r="199">
      <c r="B199" s="70"/>
      <c r="J199" s="71"/>
    </row>
    <row r="200">
      <c r="B200" s="70"/>
      <c r="J200" s="71"/>
    </row>
    <row r="201">
      <c r="B201" s="70"/>
      <c r="J201" s="71"/>
    </row>
    <row r="202">
      <c r="B202" s="70"/>
      <c r="J202" s="71"/>
    </row>
    <row r="203">
      <c r="B203" s="70"/>
      <c r="J203" s="71"/>
    </row>
    <row r="204">
      <c r="B204" s="70"/>
      <c r="J204" s="71"/>
    </row>
    <row r="205">
      <c r="B205" s="70"/>
      <c r="J205" s="71"/>
    </row>
    <row r="206">
      <c r="B206" s="70"/>
      <c r="J206" s="71"/>
    </row>
    <row r="207">
      <c r="B207" s="70"/>
      <c r="J207" s="71"/>
    </row>
    <row r="208">
      <c r="B208" s="70"/>
      <c r="J208" s="71"/>
    </row>
    <row r="209">
      <c r="B209" s="70"/>
      <c r="J209" s="71"/>
    </row>
    <row r="210">
      <c r="B210" s="70"/>
      <c r="J210" s="71"/>
    </row>
    <row r="211">
      <c r="B211" s="70"/>
      <c r="J211" s="71"/>
    </row>
    <row r="212">
      <c r="B212" s="70"/>
      <c r="J212" s="71"/>
    </row>
    <row r="213">
      <c r="B213" s="70"/>
      <c r="J213" s="71"/>
    </row>
    <row r="214">
      <c r="B214" s="70"/>
      <c r="J214" s="71"/>
    </row>
    <row r="215">
      <c r="B215" s="70"/>
      <c r="J215" s="71"/>
    </row>
    <row r="216">
      <c r="B216" s="70"/>
      <c r="J216" s="71"/>
    </row>
    <row r="217">
      <c r="B217" s="70"/>
      <c r="J217" s="71"/>
    </row>
    <row r="218">
      <c r="B218" s="70"/>
      <c r="J218" s="71"/>
    </row>
    <row r="219">
      <c r="B219" s="70"/>
      <c r="J219" s="71"/>
    </row>
    <row r="220">
      <c r="B220" s="70"/>
      <c r="J220" s="71"/>
    </row>
    <row r="221">
      <c r="B221" s="70"/>
      <c r="J221" s="71"/>
    </row>
    <row r="222">
      <c r="B222" s="70"/>
      <c r="J222" s="71"/>
    </row>
    <row r="223">
      <c r="B223" s="70"/>
      <c r="J223" s="71"/>
    </row>
    <row r="224">
      <c r="B224" s="70"/>
      <c r="J224" s="71"/>
    </row>
    <row r="225">
      <c r="B225" s="70"/>
      <c r="J225" s="71"/>
    </row>
    <row r="226">
      <c r="B226" s="70"/>
      <c r="J226" s="71"/>
    </row>
    <row r="227">
      <c r="B227" s="70"/>
      <c r="J227" s="71"/>
    </row>
    <row r="228">
      <c r="B228" s="70"/>
      <c r="J228" s="71"/>
    </row>
    <row r="229">
      <c r="B229" s="70"/>
      <c r="J229" s="71"/>
    </row>
    <row r="230">
      <c r="B230" s="70"/>
      <c r="J230" s="71"/>
    </row>
    <row r="231">
      <c r="B231" s="70"/>
      <c r="J231" s="71"/>
    </row>
    <row r="232">
      <c r="B232" s="70"/>
      <c r="J232" s="71"/>
    </row>
    <row r="233">
      <c r="B233" s="70"/>
      <c r="J233" s="71"/>
    </row>
    <row r="234">
      <c r="B234" s="70"/>
      <c r="J234" s="71"/>
    </row>
    <row r="235">
      <c r="B235" s="70"/>
      <c r="J235" s="71"/>
    </row>
    <row r="236">
      <c r="B236" s="70"/>
      <c r="J236" s="71"/>
    </row>
    <row r="237">
      <c r="B237" s="70"/>
      <c r="J237" s="71"/>
    </row>
    <row r="238">
      <c r="B238" s="70"/>
      <c r="J238" s="71"/>
    </row>
    <row r="239">
      <c r="B239" s="70"/>
      <c r="J239" s="71"/>
    </row>
    <row r="240">
      <c r="B240" s="70"/>
      <c r="J240" s="71"/>
    </row>
    <row r="241">
      <c r="B241" s="70"/>
      <c r="J241" s="71"/>
    </row>
    <row r="242">
      <c r="B242" s="70"/>
      <c r="J242" s="71"/>
    </row>
    <row r="243">
      <c r="B243" s="70"/>
      <c r="J243" s="71"/>
    </row>
    <row r="244">
      <c r="B244" s="70"/>
      <c r="J244" s="71"/>
    </row>
    <row r="245">
      <c r="B245" s="70"/>
      <c r="J245" s="71"/>
    </row>
    <row r="246">
      <c r="B246" s="70"/>
      <c r="J246" s="71"/>
    </row>
    <row r="247">
      <c r="B247" s="70"/>
      <c r="J247" s="71"/>
    </row>
    <row r="248">
      <c r="B248" s="70"/>
      <c r="J248" s="71"/>
    </row>
    <row r="249">
      <c r="B249" s="70"/>
      <c r="J249" s="71"/>
    </row>
    <row r="250">
      <c r="B250" s="70"/>
      <c r="J250" s="71"/>
    </row>
    <row r="251">
      <c r="B251" s="70"/>
      <c r="J251" s="71"/>
    </row>
    <row r="252">
      <c r="B252" s="70"/>
      <c r="J252" s="71"/>
    </row>
    <row r="253">
      <c r="B253" s="70"/>
      <c r="J253" s="71"/>
    </row>
    <row r="254">
      <c r="B254" s="70"/>
      <c r="J254" s="71"/>
    </row>
    <row r="255">
      <c r="B255" s="70"/>
      <c r="J255" s="71"/>
    </row>
    <row r="256">
      <c r="B256" s="70"/>
      <c r="J256" s="71"/>
    </row>
    <row r="257">
      <c r="B257" s="70"/>
      <c r="J257" s="71"/>
    </row>
    <row r="258">
      <c r="B258" s="70"/>
      <c r="J258" s="71"/>
    </row>
    <row r="259">
      <c r="B259" s="70"/>
      <c r="J259" s="71"/>
    </row>
    <row r="260">
      <c r="B260" s="70"/>
      <c r="J260" s="71"/>
    </row>
    <row r="261">
      <c r="B261" s="70"/>
      <c r="J261" s="71"/>
    </row>
    <row r="262">
      <c r="B262" s="70"/>
      <c r="J262" s="71"/>
    </row>
    <row r="263">
      <c r="B263" s="70"/>
      <c r="J263" s="71"/>
    </row>
    <row r="264">
      <c r="B264" s="70"/>
      <c r="J264" s="71"/>
    </row>
    <row r="265">
      <c r="B265" s="70"/>
      <c r="J265" s="71"/>
    </row>
    <row r="266">
      <c r="B266" s="70"/>
      <c r="J266" s="71"/>
    </row>
    <row r="267">
      <c r="B267" s="70"/>
      <c r="J267" s="71"/>
    </row>
    <row r="268">
      <c r="B268" s="70"/>
      <c r="J268" s="71"/>
    </row>
    <row r="269">
      <c r="B269" s="70"/>
      <c r="J269" s="71"/>
    </row>
    <row r="270">
      <c r="B270" s="70"/>
      <c r="J270" s="71"/>
    </row>
    <row r="271">
      <c r="B271" s="70"/>
      <c r="J271" s="71"/>
    </row>
    <row r="272">
      <c r="B272" s="70"/>
      <c r="J272" s="71"/>
    </row>
    <row r="273">
      <c r="B273" s="70"/>
      <c r="J273" s="71"/>
    </row>
    <row r="274">
      <c r="B274" s="70"/>
      <c r="J274" s="71"/>
    </row>
    <row r="275">
      <c r="B275" s="70"/>
      <c r="J275" s="71"/>
    </row>
    <row r="276">
      <c r="B276" s="70"/>
      <c r="J276" s="71"/>
    </row>
    <row r="277">
      <c r="B277" s="70"/>
      <c r="J277" s="71"/>
    </row>
    <row r="278">
      <c r="B278" s="70"/>
      <c r="J278" s="71"/>
    </row>
    <row r="279">
      <c r="B279" s="70"/>
      <c r="J279" s="71"/>
    </row>
    <row r="280">
      <c r="B280" s="70"/>
      <c r="J280" s="71"/>
    </row>
    <row r="281">
      <c r="B281" s="70"/>
      <c r="J281" s="71"/>
    </row>
    <row r="282">
      <c r="B282" s="70"/>
      <c r="J282" s="71"/>
    </row>
    <row r="283">
      <c r="B283" s="70"/>
      <c r="J283" s="71"/>
    </row>
    <row r="284">
      <c r="B284" s="70"/>
      <c r="J284" s="71"/>
    </row>
    <row r="285">
      <c r="B285" s="70"/>
      <c r="J285" s="71"/>
    </row>
    <row r="286">
      <c r="B286" s="70"/>
      <c r="J286" s="71"/>
    </row>
    <row r="287">
      <c r="B287" s="70"/>
      <c r="J287" s="71"/>
    </row>
    <row r="288">
      <c r="B288" s="70"/>
      <c r="J288" s="71"/>
    </row>
    <row r="289">
      <c r="B289" s="70"/>
      <c r="J289" s="71"/>
    </row>
    <row r="290">
      <c r="B290" s="70"/>
      <c r="J290" s="71"/>
    </row>
    <row r="291">
      <c r="B291" s="70"/>
      <c r="J291" s="71"/>
    </row>
    <row r="292">
      <c r="B292" s="70"/>
      <c r="J292" s="71"/>
    </row>
    <row r="293">
      <c r="B293" s="70"/>
      <c r="J293" s="71"/>
    </row>
    <row r="294">
      <c r="B294" s="70"/>
      <c r="J294" s="71"/>
    </row>
    <row r="295">
      <c r="B295" s="70"/>
      <c r="J295" s="71"/>
    </row>
    <row r="296">
      <c r="B296" s="70"/>
      <c r="J296" s="71"/>
    </row>
    <row r="297">
      <c r="B297" s="70"/>
      <c r="J297" s="71"/>
    </row>
    <row r="298">
      <c r="B298" s="70"/>
      <c r="J298" s="71"/>
    </row>
    <row r="299">
      <c r="B299" s="70"/>
      <c r="J299" s="71"/>
    </row>
    <row r="300">
      <c r="B300" s="70"/>
      <c r="J300" s="71"/>
    </row>
    <row r="301">
      <c r="B301" s="70"/>
      <c r="J301" s="71"/>
    </row>
    <row r="302">
      <c r="B302" s="70"/>
      <c r="J302" s="71"/>
    </row>
    <row r="303">
      <c r="B303" s="70"/>
      <c r="J303" s="71"/>
    </row>
    <row r="304">
      <c r="B304" s="70"/>
      <c r="J304" s="71"/>
    </row>
    <row r="305">
      <c r="B305" s="70"/>
      <c r="J305" s="71"/>
    </row>
    <row r="306">
      <c r="B306" s="70"/>
      <c r="J306" s="71"/>
    </row>
    <row r="307">
      <c r="B307" s="70"/>
      <c r="J307" s="71"/>
    </row>
    <row r="308">
      <c r="B308" s="70"/>
      <c r="J308" s="71"/>
    </row>
    <row r="309">
      <c r="B309" s="70"/>
      <c r="J309" s="71"/>
    </row>
    <row r="310">
      <c r="B310" s="70"/>
      <c r="J310" s="71"/>
    </row>
    <row r="311">
      <c r="B311" s="70"/>
      <c r="J311" s="71"/>
    </row>
    <row r="312">
      <c r="B312" s="70"/>
      <c r="J312" s="71"/>
    </row>
    <row r="313">
      <c r="B313" s="70"/>
      <c r="J313" s="71"/>
    </row>
    <row r="314">
      <c r="B314" s="70"/>
      <c r="J314" s="71"/>
    </row>
    <row r="315">
      <c r="B315" s="70"/>
      <c r="J315" s="71"/>
    </row>
    <row r="316">
      <c r="B316" s="70"/>
      <c r="J316" s="71"/>
    </row>
    <row r="317">
      <c r="B317" s="70"/>
      <c r="J317" s="71"/>
    </row>
    <row r="318">
      <c r="B318" s="70"/>
      <c r="J318" s="71"/>
    </row>
    <row r="319">
      <c r="B319" s="70"/>
      <c r="J319" s="71"/>
    </row>
    <row r="320">
      <c r="B320" s="70"/>
      <c r="J320" s="71"/>
    </row>
    <row r="321">
      <c r="B321" s="70"/>
      <c r="J321" s="71"/>
    </row>
    <row r="322">
      <c r="B322" s="70"/>
      <c r="J322" s="71"/>
    </row>
    <row r="323">
      <c r="B323" s="70"/>
      <c r="J323" s="71"/>
    </row>
    <row r="324">
      <c r="B324" s="70"/>
      <c r="J324" s="71"/>
    </row>
    <row r="325">
      <c r="B325" s="70"/>
      <c r="J325" s="71"/>
    </row>
    <row r="326">
      <c r="B326" s="70"/>
      <c r="J326" s="71"/>
    </row>
    <row r="327">
      <c r="B327" s="70"/>
      <c r="J327" s="71"/>
    </row>
    <row r="328">
      <c r="B328" s="70"/>
      <c r="J328" s="71"/>
    </row>
    <row r="329">
      <c r="B329" s="70"/>
      <c r="J329" s="71"/>
    </row>
    <row r="330">
      <c r="B330" s="70"/>
      <c r="J330" s="71"/>
    </row>
    <row r="331">
      <c r="B331" s="70"/>
      <c r="J331" s="71"/>
    </row>
    <row r="332">
      <c r="B332" s="70"/>
      <c r="J332" s="71"/>
    </row>
    <row r="333">
      <c r="B333" s="70"/>
      <c r="J333" s="71"/>
    </row>
    <row r="334">
      <c r="B334" s="70"/>
      <c r="J334" s="71"/>
    </row>
    <row r="335">
      <c r="B335" s="70"/>
      <c r="J335" s="71"/>
    </row>
    <row r="336">
      <c r="B336" s="70"/>
      <c r="J336" s="71"/>
    </row>
    <row r="337">
      <c r="B337" s="70"/>
      <c r="J337" s="71"/>
    </row>
    <row r="338">
      <c r="B338" s="70"/>
      <c r="J338" s="71"/>
    </row>
    <row r="339">
      <c r="B339" s="70"/>
      <c r="J339" s="71"/>
    </row>
    <row r="340">
      <c r="B340" s="70"/>
      <c r="J340" s="71"/>
    </row>
    <row r="341">
      <c r="B341" s="70"/>
      <c r="J341" s="71"/>
    </row>
    <row r="342">
      <c r="B342" s="70"/>
      <c r="J342" s="71"/>
    </row>
    <row r="343">
      <c r="B343" s="70"/>
      <c r="J343" s="71"/>
    </row>
    <row r="344">
      <c r="B344" s="70"/>
      <c r="J344" s="71"/>
    </row>
    <row r="345">
      <c r="B345" s="70"/>
      <c r="J345" s="71"/>
    </row>
    <row r="346">
      <c r="B346" s="70"/>
      <c r="J346" s="71"/>
    </row>
    <row r="347">
      <c r="B347" s="70"/>
      <c r="J347" s="71"/>
    </row>
    <row r="348">
      <c r="B348" s="70"/>
      <c r="J348" s="71"/>
    </row>
    <row r="349">
      <c r="B349" s="70"/>
      <c r="J349" s="71"/>
    </row>
    <row r="350">
      <c r="B350" s="70"/>
      <c r="J350" s="71"/>
    </row>
    <row r="351">
      <c r="B351" s="70"/>
      <c r="J351" s="71"/>
    </row>
    <row r="352">
      <c r="B352" s="70"/>
      <c r="J352" s="71"/>
    </row>
    <row r="353">
      <c r="B353" s="70"/>
      <c r="J353" s="71"/>
    </row>
    <row r="354">
      <c r="B354" s="70"/>
      <c r="J354" s="71"/>
    </row>
    <row r="355">
      <c r="B355" s="70"/>
      <c r="J355" s="71"/>
    </row>
    <row r="356">
      <c r="B356" s="70"/>
      <c r="J356" s="71"/>
    </row>
    <row r="357">
      <c r="B357" s="70"/>
      <c r="J357" s="71"/>
    </row>
    <row r="358">
      <c r="B358" s="70"/>
      <c r="J358" s="71"/>
    </row>
    <row r="359">
      <c r="B359" s="70"/>
      <c r="J359" s="71"/>
    </row>
    <row r="360">
      <c r="B360" s="70"/>
      <c r="J360" s="71"/>
    </row>
    <row r="361">
      <c r="B361" s="70"/>
      <c r="J361" s="71"/>
    </row>
    <row r="362">
      <c r="B362" s="70"/>
      <c r="J362" s="71"/>
    </row>
    <row r="363">
      <c r="B363" s="70"/>
      <c r="J363" s="71"/>
    </row>
    <row r="364">
      <c r="B364" s="70"/>
      <c r="J364" s="71"/>
    </row>
    <row r="365">
      <c r="B365" s="70"/>
      <c r="J365" s="71"/>
    </row>
    <row r="366">
      <c r="B366" s="70"/>
      <c r="J366" s="71"/>
    </row>
    <row r="367">
      <c r="B367" s="70"/>
      <c r="J367" s="71"/>
    </row>
    <row r="368">
      <c r="B368" s="70"/>
      <c r="J368" s="71"/>
    </row>
    <row r="369">
      <c r="B369" s="70"/>
      <c r="J369" s="71"/>
    </row>
    <row r="370">
      <c r="B370" s="70"/>
      <c r="J370" s="71"/>
    </row>
    <row r="371">
      <c r="B371" s="70"/>
      <c r="J371" s="71"/>
    </row>
    <row r="372">
      <c r="B372" s="70"/>
      <c r="J372" s="71"/>
    </row>
    <row r="373">
      <c r="B373" s="70"/>
      <c r="J373" s="71"/>
    </row>
    <row r="374">
      <c r="B374" s="70"/>
      <c r="J374" s="71"/>
    </row>
    <row r="375">
      <c r="B375" s="70"/>
      <c r="J375" s="71"/>
    </row>
    <row r="376">
      <c r="B376" s="70"/>
      <c r="J376" s="71"/>
    </row>
    <row r="377">
      <c r="B377" s="70"/>
      <c r="J377" s="71"/>
    </row>
    <row r="378">
      <c r="B378" s="70"/>
      <c r="J378" s="71"/>
    </row>
    <row r="379">
      <c r="B379" s="70"/>
      <c r="J379" s="71"/>
    </row>
    <row r="380">
      <c r="B380" s="70"/>
      <c r="J380" s="71"/>
    </row>
    <row r="381">
      <c r="B381" s="70"/>
      <c r="J381" s="71"/>
    </row>
    <row r="382">
      <c r="B382" s="70"/>
      <c r="J382" s="71"/>
    </row>
    <row r="383">
      <c r="B383" s="70"/>
      <c r="J383" s="71"/>
    </row>
    <row r="384">
      <c r="B384" s="70"/>
      <c r="J384" s="71"/>
    </row>
    <row r="385">
      <c r="B385" s="70"/>
      <c r="J385" s="71"/>
    </row>
    <row r="386">
      <c r="B386" s="70"/>
      <c r="J386" s="71"/>
    </row>
    <row r="387">
      <c r="B387" s="70"/>
      <c r="J387" s="71"/>
    </row>
    <row r="388">
      <c r="B388" s="70"/>
      <c r="J388" s="71"/>
    </row>
    <row r="389">
      <c r="B389" s="70"/>
      <c r="J389" s="71"/>
    </row>
    <row r="390">
      <c r="B390" s="70"/>
      <c r="J390" s="71"/>
    </row>
    <row r="391">
      <c r="B391" s="70"/>
      <c r="J391" s="71"/>
    </row>
    <row r="392">
      <c r="B392" s="70"/>
      <c r="J392" s="71"/>
    </row>
    <row r="393">
      <c r="B393" s="70"/>
      <c r="J393" s="71"/>
    </row>
    <row r="394">
      <c r="B394" s="70"/>
      <c r="J394" s="71"/>
    </row>
    <row r="395">
      <c r="B395" s="70"/>
      <c r="J395" s="71"/>
    </row>
    <row r="396">
      <c r="B396" s="70"/>
      <c r="J396" s="71"/>
    </row>
    <row r="397">
      <c r="B397" s="70"/>
      <c r="J397" s="71"/>
    </row>
    <row r="398">
      <c r="B398" s="70"/>
      <c r="J398" s="71"/>
    </row>
    <row r="399">
      <c r="B399" s="70"/>
      <c r="J399" s="71"/>
    </row>
    <row r="400">
      <c r="B400" s="70"/>
      <c r="J400" s="71"/>
    </row>
    <row r="401">
      <c r="B401" s="70"/>
      <c r="J401" s="71"/>
    </row>
    <row r="402">
      <c r="B402" s="70"/>
      <c r="J402" s="71"/>
    </row>
    <row r="403">
      <c r="B403" s="70"/>
      <c r="J403" s="71"/>
    </row>
    <row r="404">
      <c r="B404" s="70"/>
      <c r="J404" s="71"/>
    </row>
    <row r="405">
      <c r="B405" s="70"/>
      <c r="J405" s="71"/>
    </row>
    <row r="406">
      <c r="B406" s="70"/>
      <c r="J406" s="71"/>
    </row>
    <row r="407">
      <c r="B407" s="70"/>
      <c r="J407" s="71"/>
    </row>
    <row r="408">
      <c r="B408" s="70"/>
      <c r="J408" s="71"/>
    </row>
    <row r="409">
      <c r="B409" s="70"/>
      <c r="J409" s="71"/>
    </row>
    <row r="410">
      <c r="B410" s="70"/>
      <c r="J410" s="71"/>
    </row>
    <row r="411">
      <c r="B411" s="70"/>
      <c r="J411" s="71"/>
    </row>
    <row r="412">
      <c r="B412" s="70"/>
      <c r="J412" s="71"/>
    </row>
    <row r="413">
      <c r="B413" s="70"/>
      <c r="J413" s="71"/>
    </row>
    <row r="414">
      <c r="B414" s="70"/>
      <c r="J414" s="71"/>
    </row>
    <row r="415">
      <c r="B415" s="70"/>
      <c r="J415" s="71"/>
    </row>
    <row r="416">
      <c r="B416" s="70"/>
      <c r="J416" s="71"/>
    </row>
    <row r="417">
      <c r="B417" s="70"/>
      <c r="J417" s="71"/>
    </row>
    <row r="418">
      <c r="B418" s="70"/>
      <c r="J418" s="71"/>
    </row>
    <row r="419">
      <c r="B419" s="70"/>
      <c r="J419" s="71"/>
    </row>
    <row r="420">
      <c r="B420" s="70"/>
      <c r="J420" s="71"/>
    </row>
    <row r="421">
      <c r="B421" s="70"/>
      <c r="J421" s="71"/>
    </row>
    <row r="422">
      <c r="B422" s="70"/>
      <c r="J422" s="71"/>
    </row>
    <row r="423">
      <c r="B423" s="70"/>
      <c r="J423" s="71"/>
    </row>
    <row r="424">
      <c r="B424" s="70"/>
      <c r="J424" s="71"/>
    </row>
    <row r="425">
      <c r="B425" s="70"/>
      <c r="J425" s="71"/>
    </row>
    <row r="426">
      <c r="B426" s="70"/>
      <c r="J426" s="71"/>
    </row>
    <row r="427">
      <c r="B427" s="70"/>
      <c r="J427" s="71"/>
    </row>
    <row r="428">
      <c r="B428" s="70"/>
      <c r="J428" s="71"/>
    </row>
    <row r="429">
      <c r="B429" s="70"/>
      <c r="J429" s="71"/>
    </row>
    <row r="430">
      <c r="B430" s="70"/>
      <c r="J430" s="71"/>
    </row>
    <row r="431">
      <c r="B431" s="70"/>
      <c r="J431" s="71"/>
    </row>
    <row r="432">
      <c r="B432" s="70"/>
      <c r="J432" s="71"/>
    </row>
    <row r="433">
      <c r="B433" s="70"/>
      <c r="J433" s="71"/>
    </row>
    <row r="434">
      <c r="B434" s="70"/>
      <c r="J434" s="71"/>
    </row>
    <row r="435">
      <c r="B435" s="70"/>
      <c r="J435" s="71"/>
    </row>
    <row r="436">
      <c r="B436" s="70"/>
      <c r="J436" s="71"/>
    </row>
    <row r="437">
      <c r="B437" s="70"/>
      <c r="J437" s="71"/>
    </row>
    <row r="438">
      <c r="B438" s="70"/>
      <c r="J438" s="71"/>
    </row>
    <row r="439">
      <c r="B439" s="70"/>
      <c r="J439" s="71"/>
    </row>
    <row r="440">
      <c r="B440" s="70"/>
      <c r="J440" s="71"/>
    </row>
    <row r="441">
      <c r="B441" s="70"/>
      <c r="J441" s="71"/>
    </row>
    <row r="442">
      <c r="B442" s="70"/>
      <c r="J442" s="71"/>
    </row>
    <row r="443">
      <c r="B443" s="70"/>
      <c r="J443" s="71"/>
    </row>
    <row r="444">
      <c r="B444" s="70"/>
      <c r="J444" s="71"/>
    </row>
    <row r="445">
      <c r="B445" s="70"/>
      <c r="J445" s="71"/>
    </row>
    <row r="446">
      <c r="B446" s="70"/>
      <c r="J446" s="71"/>
    </row>
    <row r="447">
      <c r="B447" s="70"/>
      <c r="J447" s="71"/>
    </row>
    <row r="448">
      <c r="B448" s="70"/>
      <c r="J448" s="71"/>
    </row>
    <row r="449">
      <c r="B449" s="70"/>
      <c r="J449" s="71"/>
    </row>
    <row r="450">
      <c r="B450" s="70"/>
      <c r="J450" s="71"/>
    </row>
    <row r="451">
      <c r="B451" s="70"/>
      <c r="J451" s="71"/>
    </row>
    <row r="452">
      <c r="B452" s="70"/>
      <c r="J452" s="71"/>
    </row>
    <row r="453">
      <c r="B453" s="70"/>
      <c r="J453" s="71"/>
    </row>
    <row r="454">
      <c r="B454" s="70"/>
      <c r="J454" s="71"/>
    </row>
    <row r="455">
      <c r="B455" s="70"/>
      <c r="J455" s="71"/>
    </row>
    <row r="456">
      <c r="B456" s="70"/>
      <c r="J456" s="71"/>
    </row>
    <row r="457">
      <c r="B457" s="70"/>
      <c r="J457" s="71"/>
    </row>
    <row r="458">
      <c r="B458" s="70"/>
      <c r="J458" s="71"/>
    </row>
    <row r="459">
      <c r="B459" s="70"/>
      <c r="J459" s="71"/>
    </row>
    <row r="460">
      <c r="B460" s="70"/>
      <c r="J460" s="71"/>
    </row>
    <row r="461">
      <c r="B461" s="70"/>
      <c r="J461" s="71"/>
    </row>
    <row r="462">
      <c r="B462" s="70"/>
      <c r="J462" s="71"/>
    </row>
    <row r="463">
      <c r="B463" s="70"/>
      <c r="J463" s="71"/>
    </row>
    <row r="464">
      <c r="B464" s="70"/>
      <c r="J464" s="71"/>
    </row>
    <row r="465">
      <c r="B465" s="70"/>
      <c r="J465" s="71"/>
    </row>
    <row r="466">
      <c r="B466" s="70"/>
      <c r="J466" s="71"/>
    </row>
    <row r="467">
      <c r="B467" s="70"/>
      <c r="J467" s="71"/>
    </row>
    <row r="468">
      <c r="B468" s="70"/>
      <c r="J468" s="71"/>
    </row>
    <row r="469">
      <c r="B469" s="70"/>
      <c r="J469" s="71"/>
    </row>
    <row r="470">
      <c r="B470" s="70"/>
      <c r="J470" s="71"/>
    </row>
    <row r="471">
      <c r="B471" s="70"/>
      <c r="J471" s="71"/>
    </row>
    <row r="472">
      <c r="B472" s="70"/>
      <c r="J472" s="71"/>
    </row>
    <row r="473">
      <c r="B473" s="70"/>
      <c r="J473" s="71"/>
    </row>
    <row r="474">
      <c r="B474" s="70"/>
      <c r="J474" s="71"/>
    </row>
    <row r="475">
      <c r="B475" s="70"/>
      <c r="J475" s="71"/>
    </row>
    <row r="476">
      <c r="B476" s="70"/>
      <c r="J476" s="71"/>
    </row>
    <row r="477">
      <c r="B477" s="70"/>
      <c r="J477" s="71"/>
    </row>
    <row r="478">
      <c r="B478" s="70"/>
      <c r="J478" s="71"/>
    </row>
    <row r="479">
      <c r="B479" s="70"/>
      <c r="J479" s="71"/>
    </row>
    <row r="480">
      <c r="B480" s="70"/>
      <c r="J480" s="71"/>
    </row>
    <row r="481">
      <c r="B481" s="70"/>
      <c r="J481" s="71"/>
    </row>
    <row r="482">
      <c r="B482" s="70"/>
      <c r="J482" s="71"/>
    </row>
    <row r="483">
      <c r="B483" s="70"/>
      <c r="J483" s="71"/>
    </row>
    <row r="484">
      <c r="B484" s="70"/>
      <c r="J484" s="71"/>
    </row>
    <row r="485">
      <c r="B485" s="70"/>
      <c r="J485" s="71"/>
    </row>
    <row r="486">
      <c r="B486" s="70"/>
      <c r="J486" s="71"/>
    </row>
    <row r="487">
      <c r="B487" s="70"/>
      <c r="J487" s="71"/>
    </row>
    <row r="488">
      <c r="B488" s="70"/>
      <c r="J488" s="71"/>
    </row>
    <row r="489">
      <c r="B489" s="70"/>
      <c r="J489" s="71"/>
    </row>
    <row r="490">
      <c r="B490" s="70"/>
      <c r="J490" s="71"/>
    </row>
    <row r="491">
      <c r="B491" s="70"/>
      <c r="J491" s="71"/>
    </row>
    <row r="492">
      <c r="B492" s="70"/>
      <c r="J492" s="71"/>
    </row>
    <row r="493">
      <c r="B493" s="70"/>
      <c r="J493" s="71"/>
    </row>
    <row r="494">
      <c r="B494" s="70"/>
      <c r="J494" s="71"/>
    </row>
    <row r="495">
      <c r="B495" s="70"/>
      <c r="J495" s="71"/>
    </row>
    <row r="496">
      <c r="B496" s="70"/>
      <c r="J496" s="71"/>
    </row>
    <row r="497">
      <c r="B497" s="70"/>
      <c r="J497" s="71"/>
    </row>
    <row r="498">
      <c r="B498" s="70"/>
      <c r="J498" s="71"/>
    </row>
    <row r="499">
      <c r="B499" s="70"/>
      <c r="J499" s="71"/>
    </row>
    <row r="500">
      <c r="B500" s="70"/>
      <c r="J500" s="71"/>
    </row>
    <row r="501">
      <c r="B501" s="70"/>
      <c r="J501" s="71"/>
    </row>
    <row r="502">
      <c r="B502" s="70"/>
      <c r="J502" s="71"/>
    </row>
    <row r="503">
      <c r="B503" s="70"/>
      <c r="J503" s="71"/>
    </row>
    <row r="504">
      <c r="B504" s="70"/>
      <c r="J504" s="71"/>
    </row>
    <row r="505">
      <c r="B505" s="70"/>
      <c r="J505" s="71"/>
    </row>
    <row r="506">
      <c r="B506" s="70"/>
      <c r="J506" s="71"/>
    </row>
    <row r="507">
      <c r="B507" s="70"/>
      <c r="J507" s="71"/>
    </row>
    <row r="508">
      <c r="B508" s="70"/>
      <c r="J508" s="71"/>
    </row>
    <row r="509">
      <c r="B509" s="70"/>
      <c r="J509" s="71"/>
    </row>
    <row r="510">
      <c r="B510" s="70"/>
      <c r="J510" s="71"/>
    </row>
    <row r="511">
      <c r="B511" s="70"/>
      <c r="J511" s="71"/>
    </row>
    <row r="512">
      <c r="B512" s="70"/>
      <c r="J512" s="71"/>
    </row>
    <row r="513">
      <c r="B513" s="70"/>
      <c r="J513" s="71"/>
    </row>
    <row r="514">
      <c r="B514" s="70"/>
      <c r="J514" s="71"/>
    </row>
    <row r="515">
      <c r="B515" s="70"/>
      <c r="J515" s="71"/>
    </row>
    <row r="516">
      <c r="B516" s="70"/>
      <c r="J516" s="71"/>
    </row>
    <row r="517">
      <c r="B517" s="70"/>
      <c r="J517" s="71"/>
    </row>
    <row r="518">
      <c r="B518" s="70"/>
      <c r="J518" s="71"/>
    </row>
    <row r="519">
      <c r="B519" s="70"/>
      <c r="J519" s="71"/>
    </row>
    <row r="520">
      <c r="B520" s="70"/>
      <c r="J520" s="71"/>
    </row>
    <row r="521">
      <c r="B521" s="70"/>
      <c r="J521" s="71"/>
    </row>
    <row r="522">
      <c r="B522" s="70"/>
      <c r="J522" s="71"/>
    </row>
    <row r="523">
      <c r="B523" s="70"/>
      <c r="J523" s="71"/>
    </row>
    <row r="524">
      <c r="B524" s="70"/>
      <c r="J524" s="71"/>
    </row>
    <row r="525">
      <c r="B525" s="70"/>
      <c r="J525" s="71"/>
    </row>
    <row r="526">
      <c r="B526" s="70"/>
      <c r="J526" s="71"/>
    </row>
    <row r="527">
      <c r="B527" s="70"/>
      <c r="J527" s="71"/>
    </row>
    <row r="528">
      <c r="B528" s="70"/>
      <c r="J528" s="71"/>
    </row>
    <row r="529">
      <c r="B529" s="70"/>
      <c r="J529" s="71"/>
    </row>
    <row r="530">
      <c r="B530" s="70"/>
      <c r="J530" s="71"/>
    </row>
    <row r="531">
      <c r="B531" s="70"/>
      <c r="J531" s="71"/>
    </row>
    <row r="532">
      <c r="B532" s="70"/>
      <c r="J532" s="71"/>
    </row>
    <row r="533">
      <c r="B533" s="70"/>
      <c r="J533" s="71"/>
    </row>
    <row r="534">
      <c r="B534" s="70"/>
      <c r="J534" s="71"/>
    </row>
    <row r="535">
      <c r="B535" s="70"/>
      <c r="J535" s="71"/>
    </row>
    <row r="536">
      <c r="B536" s="70"/>
      <c r="J536" s="71"/>
    </row>
    <row r="537">
      <c r="B537" s="70"/>
      <c r="J537" s="71"/>
    </row>
    <row r="538">
      <c r="B538" s="70"/>
      <c r="J538" s="71"/>
    </row>
    <row r="539">
      <c r="B539" s="70"/>
      <c r="J539" s="71"/>
    </row>
    <row r="540">
      <c r="B540" s="70"/>
      <c r="J540" s="71"/>
    </row>
    <row r="541">
      <c r="B541" s="70"/>
      <c r="J541" s="71"/>
    </row>
    <row r="542">
      <c r="B542" s="70"/>
      <c r="J542" s="71"/>
    </row>
    <row r="543">
      <c r="B543" s="70"/>
      <c r="J543" s="71"/>
    </row>
    <row r="544">
      <c r="B544" s="70"/>
      <c r="J544" s="71"/>
    </row>
    <row r="545">
      <c r="B545" s="70"/>
      <c r="J545" s="71"/>
    </row>
    <row r="546">
      <c r="B546" s="70"/>
      <c r="J546" s="71"/>
    </row>
    <row r="547">
      <c r="B547" s="70"/>
      <c r="J547" s="71"/>
    </row>
    <row r="548">
      <c r="B548" s="70"/>
      <c r="J548" s="71"/>
    </row>
    <row r="549">
      <c r="B549" s="70"/>
      <c r="J549" s="71"/>
    </row>
    <row r="550">
      <c r="B550" s="70"/>
      <c r="J550" s="71"/>
    </row>
    <row r="551">
      <c r="B551" s="70"/>
      <c r="J551" s="71"/>
    </row>
    <row r="552">
      <c r="B552" s="70"/>
      <c r="J552" s="71"/>
    </row>
    <row r="553">
      <c r="B553" s="70"/>
      <c r="J553" s="71"/>
    </row>
    <row r="554">
      <c r="B554" s="70"/>
      <c r="J554" s="71"/>
    </row>
    <row r="555">
      <c r="B555" s="70"/>
      <c r="J555" s="71"/>
    </row>
    <row r="556">
      <c r="B556" s="70"/>
      <c r="J556" s="71"/>
    </row>
    <row r="557">
      <c r="B557" s="70"/>
      <c r="J557" s="71"/>
    </row>
    <row r="558">
      <c r="B558" s="70"/>
      <c r="J558" s="71"/>
    </row>
    <row r="559">
      <c r="B559" s="70"/>
      <c r="J559" s="71"/>
    </row>
    <row r="560">
      <c r="B560" s="70"/>
      <c r="J560" s="71"/>
    </row>
    <row r="561">
      <c r="B561" s="70"/>
      <c r="J561" s="71"/>
    </row>
    <row r="562">
      <c r="B562" s="70"/>
      <c r="J562" s="71"/>
    </row>
    <row r="563">
      <c r="B563" s="70"/>
      <c r="J563" s="71"/>
    </row>
    <row r="564">
      <c r="B564" s="70"/>
      <c r="J564" s="71"/>
    </row>
    <row r="565">
      <c r="B565" s="70"/>
      <c r="J565" s="71"/>
    </row>
    <row r="566">
      <c r="B566" s="70"/>
      <c r="J566" s="71"/>
    </row>
    <row r="567">
      <c r="B567" s="70"/>
      <c r="J567" s="71"/>
    </row>
    <row r="568">
      <c r="B568" s="70"/>
      <c r="J568" s="71"/>
    </row>
    <row r="569">
      <c r="B569" s="70"/>
      <c r="J569" s="71"/>
    </row>
    <row r="570">
      <c r="B570" s="70"/>
      <c r="J570" s="71"/>
    </row>
    <row r="571">
      <c r="B571" s="70"/>
      <c r="J571" s="71"/>
    </row>
    <row r="572">
      <c r="B572" s="70"/>
      <c r="J572" s="71"/>
    </row>
    <row r="573">
      <c r="B573" s="70"/>
      <c r="J573" s="71"/>
    </row>
    <row r="574">
      <c r="B574" s="70"/>
      <c r="J574" s="71"/>
    </row>
    <row r="575">
      <c r="B575" s="70"/>
      <c r="J575" s="71"/>
    </row>
    <row r="576">
      <c r="B576" s="70"/>
      <c r="J576" s="71"/>
    </row>
    <row r="577">
      <c r="B577" s="70"/>
      <c r="J577" s="71"/>
    </row>
    <row r="578">
      <c r="B578" s="70"/>
      <c r="J578" s="71"/>
    </row>
    <row r="579">
      <c r="B579" s="70"/>
      <c r="J579" s="71"/>
    </row>
    <row r="580">
      <c r="B580" s="70"/>
      <c r="J580" s="71"/>
    </row>
    <row r="581">
      <c r="B581" s="70"/>
      <c r="J581" s="71"/>
    </row>
    <row r="582">
      <c r="B582" s="70"/>
      <c r="J582" s="71"/>
    </row>
    <row r="583">
      <c r="B583" s="70"/>
      <c r="J583" s="71"/>
    </row>
    <row r="584">
      <c r="B584" s="70"/>
      <c r="J584" s="71"/>
    </row>
    <row r="585">
      <c r="B585" s="70"/>
      <c r="J585" s="71"/>
    </row>
    <row r="586">
      <c r="B586" s="70"/>
      <c r="J586" s="71"/>
    </row>
    <row r="587">
      <c r="B587" s="70"/>
      <c r="J587" s="71"/>
    </row>
    <row r="588">
      <c r="B588" s="70"/>
      <c r="J588" s="71"/>
    </row>
    <row r="589">
      <c r="B589" s="70"/>
      <c r="J589" s="71"/>
    </row>
    <row r="590">
      <c r="B590" s="70"/>
      <c r="J590" s="71"/>
    </row>
    <row r="591">
      <c r="B591" s="70"/>
      <c r="J591" s="71"/>
    </row>
    <row r="592">
      <c r="B592" s="70"/>
      <c r="J592" s="71"/>
    </row>
    <row r="593">
      <c r="B593" s="70"/>
      <c r="J593" s="71"/>
    </row>
    <row r="594">
      <c r="B594" s="70"/>
      <c r="J594" s="71"/>
    </row>
    <row r="595">
      <c r="B595" s="70"/>
      <c r="J595" s="71"/>
    </row>
    <row r="596">
      <c r="B596" s="70"/>
      <c r="J596" s="71"/>
    </row>
    <row r="597">
      <c r="B597" s="70"/>
      <c r="J597" s="71"/>
    </row>
    <row r="598">
      <c r="B598" s="70"/>
      <c r="J598" s="71"/>
    </row>
    <row r="599">
      <c r="B599" s="70"/>
      <c r="J599" s="71"/>
    </row>
    <row r="600">
      <c r="B600" s="70"/>
      <c r="J600" s="71"/>
    </row>
    <row r="601">
      <c r="B601" s="70"/>
      <c r="J601" s="71"/>
    </row>
    <row r="602">
      <c r="B602" s="70"/>
      <c r="J602" s="71"/>
    </row>
    <row r="603">
      <c r="B603" s="70"/>
      <c r="J603" s="71"/>
    </row>
    <row r="604">
      <c r="B604" s="70"/>
      <c r="J604" s="71"/>
    </row>
    <row r="605">
      <c r="B605" s="70"/>
      <c r="J605" s="71"/>
    </row>
    <row r="606">
      <c r="B606" s="70"/>
      <c r="J606" s="71"/>
    </row>
    <row r="607">
      <c r="B607" s="70"/>
      <c r="J607" s="71"/>
    </row>
    <row r="608">
      <c r="B608" s="70"/>
      <c r="J608" s="71"/>
    </row>
    <row r="609">
      <c r="B609" s="70"/>
      <c r="J609" s="71"/>
    </row>
    <row r="610">
      <c r="B610" s="70"/>
      <c r="J610" s="71"/>
    </row>
    <row r="611">
      <c r="B611" s="70"/>
      <c r="J611" s="71"/>
    </row>
    <row r="612">
      <c r="B612" s="70"/>
      <c r="J612" s="71"/>
    </row>
    <row r="613">
      <c r="B613" s="70"/>
      <c r="J613" s="71"/>
    </row>
    <row r="614">
      <c r="B614" s="70"/>
      <c r="J614" s="71"/>
    </row>
    <row r="615">
      <c r="B615" s="70"/>
      <c r="J615" s="71"/>
    </row>
    <row r="616">
      <c r="B616" s="70"/>
      <c r="J616" s="71"/>
    </row>
    <row r="617">
      <c r="B617" s="70"/>
      <c r="J617" s="71"/>
    </row>
    <row r="618">
      <c r="B618" s="70"/>
      <c r="J618" s="71"/>
    </row>
    <row r="619">
      <c r="B619" s="70"/>
      <c r="J619" s="71"/>
    </row>
    <row r="620">
      <c r="B620" s="70"/>
      <c r="J620" s="71"/>
    </row>
    <row r="621">
      <c r="B621" s="70"/>
      <c r="J621" s="71"/>
    </row>
    <row r="622">
      <c r="B622" s="70"/>
      <c r="J622" s="71"/>
    </row>
    <row r="623">
      <c r="B623" s="70"/>
      <c r="J623" s="71"/>
    </row>
    <row r="624">
      <c r="B624" s="70"/>
      <c r="J624" s="71"/>
    </row>
    <row r="625">
      <c r="B625" s="70"/>
      <c r="J625" s="71"/>
    </row>
    <row r="626">
      <c r="B626" s="70"/>
      <c r="J626" s="71"/>
    </row>
    <row r="627">
      <c r="B627" s="70"/>
      <c r="J627" s="71"/>
    </row>
    <row r="628">
      <c r="B628" s="70"/>
      <c r="J628" s="71"/>
    </row>
    <row r="629">
      <c r="B629" s="70"/>
      <c r="J629" s="71"/>
    </row>
    <row r="630">
      <c r="B630" s="70"/>
      <c r="J630" s="71"/>
    </row>
    <row r="631">
      <c r="B631" s="70"/>
      <c r="J631" s="71"/>
    </row>
    <row r="632">
      <c r="B632" s="70"/>
      <c r="J632" s="71"/>
    </row>
    <row r="633">
      <c r="B633" s="70"/>
      <c r="J633" s="71"/>
    </row>
    <row r="634">
      <c r="B634" s="70"/>
      <c r="J634" s="71"/>
    </row>
    <row r="635">
      <c r="B635" s="70"/>
      <c r="J635" s="71"/>
    </row>
    <row r="636">
      <c r="B636" s="70"/>
      <c r="J636" s="71"/>
    </row>
    <row r="637">
      <c r="B637" s="70"/>
      <c r="J637" s="71"/>
    </row>
    <row r="638">
      <c r="B638" s="70"/>
      <c r="J638" s="71"/>
    </row>
    <row r="639">
      <c r="B639" s="70"/>
      <c r="J639" s="71"/>
    </row>
    <row r="640">
      <c r="B640" s="70"/>
      <c r="J640" s="71"/>
    </row>
    <row r="641">
      <c r="B641" s="70"/>
      <c r="J641" s="71"/>
    </row>
    <row r="642">
      <c r="B642" s="70"/>
      <c r="J642" s="71"/>
    </row>
    <row r="643">
      <c r="B643" s="70"/>
      <c r="J643" s="71"/>
    </row>
    <row r="644">
      <c r="B644" s="70"/>
      <c r="J644" s="71"/>
    </row>
    <row r="645">
      <c r="B645" s="70"/>
      <c r="J645" s="71"/>
    </row>
    <row r="646">
      <c r="B646" s="70"/>
      <c r="J646" s="71"/>
    </row>
    <row r="647">
      <c r="B647" s="70"/>
      <c r="J647" s="71"/>
    </row>
    <row r="648">
      <c r="B648" s="70"/>
      <c r="J648" s="71"/>
    </row>
    <row r="649">
      <c r="B649" s="70"/>
      <c r="J649" s="71"/>
    </row>
    <row r="650">
      <c r="B650" s="70"/>
      <c r="J650" s="71"/>
    </row>
    <row r="651">
      <c r="B651" s="70"/>
      <c r="J651" s="71"/>
    </row>
    <row r="652">
      <c r="B652" s="70"/>
      <c r="J652" s="71"/>
    </row>
    <row r="653">
      <c r="B653" s="70"/>
      <c r="J653" s="71"/>
    </row>
    <row r="654">
      <c r="B654" s="70"/>
      <c r="J654" s="71"/>
    </row>
    <row r="655">
      <c r="B655" s="70"/>
      <c r="J655" s="71"/>
    </row>
    <row r="656">
      <c r="B656" s="70"/>
      <c r="J656" s="71"/>
    </row>
    <row r="657">
      <c r="B657" s="70"/>
      <c r="J657" s="71"/>
    </row>
    <row r="658">
      <c r="B658" s="70"/>
      <c r="J658" s="71"/>
    </row>
    <row r="659">
      <c r="B659" s="70"/>
      <c r="J659" s="71"/>
    </row>
    <row r="660">
      <c r="B660" s="70"/>
      <c r="J660" s="71"/>
    </row>
    <row r="661">
      <c r="B661" s="70"/>
      <c r="J661" s="71"/>
    </row>
    <row r="662">
      <c r="B662" s="70"/>
      <c r="J662" s="71"/>
    </row>
    <row r="663">
      <c r="B663" s="70"/>
      <c r="J663" s="71"/>
    </row>
    <row r="664">
      <c r="B664" s="70"/>
      <c r="J664" s="71"/>
    </row>
    <row r="665">
      <c r="B665" s="70"/>
      <c r="J665" s="71"/>
    </row>
    <row r="666">
      <c r="B666" s="70"/>
      <c r="J666" s="71"/>
    </row>
    <row r="667">
      <c r="B667" s="70"/>
      <c r="J667" s="71"/>
    </row>
    <row r="668">
      <c r="B668" s="70"/>
      <c r="J668" s="71"/>
    </row>
    <row r="669">
      <c r="B669" s="70"/>
      <c r="J669" s="71"/>
    </row>
    <row r="670">
      <c r="B670" s="70"/>
      <c r="J670" s="71"/>
    </row>
    <row r="671">
      <c r="B671" s="70"/>
      <c r="J671" s="71"/>
    </row>
    <row r="672">
      <c r="B672" s="70"/>
      <c r="J672" s="71"/>
    </row>
    <row r="673">
      <c r="B673" s="70"/>
      <c r="J673" s="71"/>
    </row>
    <row r="674">
      <c r="B674" s="70"/>
      <c r="J674" s="71"/>
    </row>
    <row r="675">
      <c r="B675" s="70"/>
      <c r="J675" s="71"/>
    </row>
    <row r="676">
      <c r="B676" s="70"/>
      <c r="J676" s="71"/>
    </row>
    <row r="677">
      <c r="B677" s="70"/>
      <c r="J677" s="71"/>
    </row>
    <row r="678">
      <c r="B678" s="70"/>
      <c r="J678" s="71"/>
    </row>
    <row r="679">
      <c r="B679" s="70"/>
      <c r="J679" s="71"/>
    </row>
    <row r="680">
      <c r="B680" s="70"/>
      <c r="J680" s="71"/>
    </row>
    <row r="681">
      <c r="B681" s="70"/>
      <c r="J681" s="71"/>
    </row>
    <row r="682">
      <c r="B682" s="70"/>
      <c r="J682" s="71"/>
    </row>
    <row r="683">
      <c r="B683" s="70"/>
      <c r="J683" s="71"/>
    </row>
    <row r="684">
      <c r="B684" s="70"/>
      <c r="J684" s="71"/>
    </row>
    <row r="685">
      <c r="B685" s="70"/>
      <c r="J685" s="71"/>
    </row>
    <row r="686">
      <c r="B686" s="70"/>
      <c r="J686" s="71"/>
    </row>
    <row r="687">
      <c r="B687" s="70"/>
      <c r="J687" s="71"/>
    </row>
    <row r="688">
      <c r="B688" s="70"/>
      <c r="J688" s="71"/>
    </row>
    <row r="689">
      <c r="B689" s="70"/>
      <c r="J689" s="71"/>
    </row>
    <row r="690">
      <c r="B690" s="70"/>
      <c r="J690" s="71"/>
    </row>
    <row r="691">
      <c r="B691" s="70"/>
      <c r="J691" s="71"/>
    </row>
    <row r="692">
      <c r="B692" s="70"/>
      <c r="J692" s="71"/>
    </row>
    <row r="693">
      <c r="B693" s="70"/>
      <c r="J693" s="71"/>
    </row>
    <row r="694">
      <c r="B694" s="70"/>
      <c r="J694" s="71"/>
    </row>
    <row r="695">
      <c r="B695" s="70"/>
      <c r="J695" s="71"/>
    </row>
    <row r="696">
      <c r="B696" s="70"/>
      <c r="J696" s="71"/>
    </row>
    <row r="697">
      <c r="B697" s="70"/>
      <c r="J697" s="71"/>
    </row>
    <row r="698">
      <c r="B698" s="70"/>
      <c r="J698" s="71"/>
    </row>
    <row r="699">
      <c r="B699" s="70"/>
      <c r="J699" s="71"/>
    </row>
    <row r="700">
      <c r="B700" s="70"/>
      <c r="J700" s="71"/>
    </row>
    <row r="701">
      <c r="B701" s="70"/>
      <c r="J701" s="71"/>
    </row>
    <row r="702">
      <c r="B702" s="70"/>
      <c r="J702" s="71"/>
    </row>
    <row r="703">
      <c r="B703" s="70"/>
      <c r="J703" s="71"/>
    </row>
    <row r="704">
      <c r="B704" s="70"/>
      <c r="J704" s="71"/>
    </row>
    <row r="705">
      <c r="B705" s="70"/>
      <c r="J705" s="71"/>
    </row>
    <row r="706">
      <c r="B706" s="70"/>
      <c r="J706" s="71"/>
    </row>
    <row r="707">
      <c r="B707" s="70"/>
      <c r="J707" s="71"/>
    </row>
    <row r="708">
      <c r="B708" s="70"/>
      <c r="J708" s="71"/>
    </row>
    <row r="709">
      <c r="B709" s="70"/>
      <c r="J709" s="71"/>
    </row>
    <row r="710">
      <c r="B710" s="70"/>
      <c r="J710" s="71"/>
    </row>
    <row r="711">
      <c r="B711" s="70"/>
      <c r="J711" s="71"/>
    </row>
    <row r="712">
      <c r="B712" s="70"/>
      <c r="J712" s="71"/>
    </row>
    <row r="713">
      <c r="B713" s="70"/>
      <c r="J713" s="71"/>
    </row>
    <row r="714">
      <c r="B714" s="70"/>
      <c r="J714" s="71"/>
    </row>
    <row r="715">
      <c r="B715" s="70"/>
      <c r="J715" s="71"/>
    </row>
    <row r="716">
      <c r="B716" s="70"/>
      <c r="J716" s="71"/>
    </row>
    <row r="717">
      <c r="B717" s="70"/>
      <c r="J717" s="71"/>
    </row>
    <row r="718">
      <c r="B718" s="70"/>
      <c r="J718" s="71"/>
    </row>
    <row r="719">
      <c r="B719" s="70"/>
      <c r="J719" s="71"/>
    </row>
    <row r="720">
      <c r="B720" s="70"/>
      <c r="J720" s="71"/>
    </row>
    <row r="721">
      <c r="B721" s="70"/>
      <c r="J721" s="71"/>
    </row>
    <row r="722">
      <c r="B722" s="70"/>
      <c r="J722" s="71"/>
    </row>
    <row r="723">
      <c r="B723" s="70"/>
      <c r="J723" s="71"/>
    </row>
    <row r="724">
      <c r="B724" s="70"/>
      <c r="J724" s="71"/>
    </row>
    <row r="725">
      <c r="B725" s="70"/>
      <c r="J725" s="71"/>
    </row>
    <row r="726">
      <c r="B726" s="70"/>
      <c r="J726" s="71"/>
    </row>
    <row r="727">
      <c r="B727" s="70"/>
      <c r="J727" s="71"/>
    </row>
    <row r="728">
      <c r="B728" s="70"/>
      <c r="J728" s="71"/>
    </row>
    <row r="729">
      <c r="B729" s="70"/>
      <c r="J729" s="71"/>
    </row>
    <row r="730">
      <c r="B730" s="70"/>
      <c r="J730" s="71"/>
    </row>
    <row r="731">
      <c r="B731" s="70"/>
      <c r="J731" s="71"/>
    </row>
    <row r="732">
      <c r="B732" s="70"/>
      <c r="J732" s="71"/>
    </row>
    <row r="733">
      <c r="B733" s="70"/>
      <c r="J733" s="71"/>
    </row>
    <row r="734">
      <c r="B734" s="70"/>
      <c r="J734" s="71"/>
    </row>
    <row r="735">
      <c r="B735" s="70"/>
      <c r="J735" s="71"/>
    </row>
    <row r="736">
      <c r="B736" s="70"/>
      <c r="J736" s="71"/>
    </row>
    <row r="737">
      <c r="B737" s="70"/>
      <c r="J737" s="71"/>
    </row>
    <row r="738">
      <c r="B738" s="70"/>
      <c r="J738" s="71"/>
    </row>
    <row r="739">
      <c r="B739" s="70"/>
      <c r="J739" s="71"/>
    </row>
    <row r="740">
      <c r="B740" s="70"/>
      <c r="J740" s="71"/>
    </row>
    <row r="741">
      <c r="B741" s="70"/>
      <c r="J741" s="71"/>
    </row>
    <row r="742">
      <c r="B742" s="70"/>
      <c r="J742" s="71"/>
    </row>
    <row r="743">
      <c r="B743" s="70"/>
      <c r="J743" s="71"/>
    </row>
    <row r="744">
      <c r="B744" s="70"/>
      <c r="J744" s="71"/>
    </row>
    <row r="745">
      <c r="B745" s="70"/>
      <c r="J745" s="71"/>
    </row>
    <row r="746">
      <c r="B746" s="70"/>
      <c r="J746" s="71"/>
    </row>
    <row r="747">
      <c r="B747" s="70"/>
      <c r="J747" s="71"/>
    </row>
    <row r="748">
      <c r="B748" s="70"/>
      <c r="J748" s="71"/>
    </row>
    <row r="749">
      <c r="B749" s="70"/>
      <c r="J749" s="71"/>
    </row>
    <row r="750">
      <c r="B750" s="70"/>
      <c r="J750" s="71"/>
    </row>
    <row r="751">
      <c r="B751" s="70"/>
      <c r="J751" s="71"/>
    </row>
    <row r="752">
      <c r="B752" s="70"/>
      <c r="J752" s="71"/>
    </row>
    <row r="753">
      <c r="B753" s="70"/>
      <c r="J753" s="71"/>
    </row>
    <row r="754">
      <c r="B754" s="70"/>
      <c r="J754" s="71"/>
    </row>
    <row r="755">
      <c r="B755" s="70"/>
      <c r="J755" s="71"/>
    </row>
    <row r="756">
      <c r="B756" s="70"/>
      <c r="J756" s="71"/>
    </row>
    <row r="757">
      <c r="B757" s="70"/>
      <c r="J757" s="71"/>
    </row>
    <row r="758">
      <c r="B758" s="70"/>
      <c r="J758" s="71"/>
    </row>
    <row r="759">
      <c r="B759" s="70"/>
      <c r="J759" s="71"/>
    </row>
    <row r="760">
      <c r="B760" s="70"/>
      <c r="J760" s="71"/>
    </row>
    <row r="761">
      <c r="B761" s="70"/>
      <c r="J761" s="71"/>
    </row>
    <row r="762">
      <c r="B762" s="70"/>
      <c r="J762" s="71"/>
    </row>
    <row r="763">
      <c r="B763" s="70"/>
      <c r="J763" s="71"/>
    </row>
    <row r="764">
      <c r="B764" s="70"/>
      <c r="J764" s="71"/>
    </row>
    <row r="765">
      <c r="B765" s="70"/>
      <c r="J765" s="71"/>
    </row>
    <row r="766">
      <c r="B766" s="70"/>
      <c r="J766" s="71"/>
    </row>
    <row r="767">
      <c r="B767" s="70"/>
      <c r="J767" s="71"/>
    </row>
    <row r="768">
      <c r="B768" s="70"/>
      <c r="J768" s="71"/>
    </row>
    <row r="769">
      <c r="B769" s="70"/>
      <c r="J769" s="71"/>
    </row>
    <row r="770">
      <c r="B770" s="70"/>
      <c r="J770" s="71"/>
    </row>
    <row r="771">
      <c r="B771" s="70"/>
      <c r="J771" s="71"/>
    </row>
    <row r="772">
      <c r="B772" s="70"/>
      <c r="J772" s="71"/>
    </row>
    <row r="773">
      <c r="B773" s="70"/>
      <c r="J773" s="71"/>
    </row>
    <row r="774">
      <c r="B774" s="70"/>
      <c r="J774" s="71"/>
    </row>
    <row r="775">
      <c r="B775" s="70"/>
      <c r="J775" s="71"/>
    </row>
    <row r="776">
      <c r="B776" s="70"/>
      <c r="J776" s="71"/>
    </row>
    <row r="777">
      <c r="B777" s="70"/>
      <c r="J777" s="71"/>
    </row>
    <row r="778">
      <c r="B778" s="70"/>
      <c r="J778" s="71"/>
    </row>
    <row r="779">
      <c r="B779" s="70"/>
      <c r="J779" s="71"/>
    </row>
    <row r="780">
      <c r="B780" s="70"/>
      <c r="J780" s="71"/>
    </row>
    <row r="781">
      <c r="B781" s="70"/>
      <c r="J781" s="71"/>
    </row>
    <row r="782">
      <c r="B782" s="70"/>
      <c r="J782" s="71"/>
    </row>
    <row r="783">
      <c r="B783" s="70"/>
      <c r="J783" s="71"/>
    </row>
    <row r="784">
      <c r="B784" s="70"/>
      <c r="J784" s="71"/>
    </row>
    <row r="785">
      <c r="B785" s="70"/>
      <c r="J785" s="71"/>
    </row>
    <row r="786">
      <c r="B786" s="70"/>
      <c r="J786" s="71"/>
    </row>
    <row r="787">
      <c r="B787" s="70"/>
      <c r="J787" s="71"/>
    </row>
    <row r="788">
      <c r="B788" s="70"/>
      <c r="J788" s="71"/>
    </row>
    <row r="789">
      <c r="B789" s="70"/>
      <c r="J789" s="71"/>
    </row>
    <row r="790">
      <c r="B790" s="70"/>
      <c r="J790" s="71"/>
    </row>
    <row r="791">
      <c r="B791" s="70"/>
      <c r="J791" s="71"/>
    </row>
    <row r="792">
      <c r="B792" s="70"/>
      <c r="J792" s="71"/>
    </row>
    <row r="793">
      <c r="B793" s="70"/>
      <c r="J793" s="71"/>
    </row>
    <row r="794">
      <c r="B794" s="70"/>
      <c r="J794" s="71"/>
    </row>
    <row r="795">
      <c r="B795" s="70"/>
      <c r="J795" s="71"/>
    </row>
    <row r="796">
      <c r="B796" s="70"/>
      <c r="J796" s="71"/>
    </row>
    <row r="797">
      <c r="B797" s="70"/>
      <c r="J797" s="71"/>
    </row>
    <row r="798">
      <c r="B798" s="70"/>
      <c r="J798" s="71"/>
    </row>
    <row r="799">
      <c r="B799" s="70"/>
      <c r="J799" s="71"/>
    </row>
    <row r="800">
      <c r="B800" s="70"/>
      <c r="J800" s="71"/>
    </row>
    <row r="801">
      <c r="B801" s="70"/>
      <c r="J801" s="71"/>
    </row>
    <row r="802">
      <c r="B802" s="70"/>
      <c r="J802" s="71"/>
    </row>
    <row r="803">
      <c r="B803" s="70"/>
      <c r="J803" s="71"/>
    </row>
    <row r="804">
      <c r="B804" s="70"/>
      <c r="J804" s="71"/>
    </row>
    <row r="805">
      <c r="B805" s="70"/>
      <c r="J805" s="71"/>
    </row>
    <row r="806">
      <c r="B806" s="70"/>
      <c r="J806" s="71"/>
    </row>
    <row r="807">
      <c r="B807" s="70"/>
      <c r="J807" s="71"/>
    </row>
    <row r="808">
      <c r="B808" s="70"/>
      <c r="J808" s="71"/>
    </row>
    <row r="809">
      <c r="B809" s="70"/>
      <c r="J809" s="71"/>
    </row>
    <row r="810">
      <c r="B810" s="70"/>
      <c r="J810" s="71"/>
    </row>
    <row r="811">
      <c r="B811" s="70"/>
      <c r="J811" s="71"/>
    </row>
    <row r="812">
      <c r="B812" s="70"/>
      <c r="J812" s="71"/>
    </row>
    <row r="813">
      <c r="B813" s="70"/>
      <c r="J813" s="71"/>
    </row>
    <row r="814">
      <c r="B814" s="70"/>
      <c r="J814" s="71"/>
    </row>
    <row r="815">
      <c r="B815" s="70"/>
      <c r="J815" s="71"/>
    </row>
    <row r="816">
      <c r="B816" s="70"/>
      <c r="J816" s="71"/>
    </row>
    <row r="817">
      <c r="B817" s="70"/>
      <c r="J817" s="71"/>
    </row>
    <row r="818">
      <c r="B818" s="70"/>
      <c r="J818" s="71"/>
    </row>
    <row r="819">
      <c r="B819" s="70"/>
      <c r="J819" s="71"/>
    </row>
    <row r="820">
      <c r="B820" s="70"/>
      <c r="J820" s="71"/>
    </row>
    <row r="821">
      <c r="B821" s="70"/>
      <c r="J821" s="71"/>
    </row>
    <row r="822">
      <c r="B822" s="70"/>
      <c r="J822" s="71"/>
    </row>
    <row r="823">
      <c r="B823" s="70"/>
      <c r="J823" s="71"/>
    </row>
    <row r="824">
      <c r="B824" s="70"/>
      <c r="J824" s="71"/>
    </row>
    <row r="825">
      <c r="B825" s="70"/>
      <c r="J825" s="71"/>
    </row>
    <row r="826">
      <c r="B826" s="70"/>
      <c r="J826" s="71"/>
    </row>
    <row r="827">
      <c r="B827" s="70"/>
      <c r="J827" s="71"/>
    </row>
    <row r="828">
      <c r="B828" s="70"/>
      <c r="J828" s="71"/>
    </row>
    <row r="829">
      <c r="B829" s="70"/>
      <c r="J829" s="71"/>
    </row>
    <row r="830">
      <c r="B830" s="70"/>
      <c r="J830" s="71"/>
    </row>
    <row r="831">
      <c r="B831" s="70"/>
      <c r="J831" s="71"/>
    </row>
    <row r="832">
      <c r="B832" s="70"/>
      <c r="J832" s="71"/>
    </row>
    <row r="833">
      <c r="B833" s="70"/>
      <c r="J833" s="71"/>
    </row>
    <row r="834">
      <c r="B834" s="70"/>
      <c r="J834" s="71"/>
    </row>
    <row r="835">
      <c r="B835" s="70"/>
      <c r="J835" s="71"/>
    </row>
    <row r="836">
      <c r="B836" s="70"/>
      <c r="J836" s="71"/>
    </row>
    <row r="837">
      <c r="B837" s="70"/>
      <c r="J837" s="71"/>
    </row>
    <row r="838">
      <c r="B838" s="70"/>
      <c r="J838" s="71"/>
    </row>
    <row r="839">
      <c r="B839" s="70"/>
      <c r="J839" s="71"/>
    </row>
    <row r="840">
      <c r="B840" s="70"/>
      <c r="J840" s="71"/>
    </row>
    <row r="841">
      <c r="B841" s="70"/>
      <c r="J841" s="71"/>
    </row>
    <row r="842">
      <c r="B842" s="70"/>
      <c r="J842" s="71"/>
    </row>
    <row r="843">
      <c r="B843" s="70"/>
      <c r="J843" s="71"/>
    </row>
    <row r="844">
      <c r="B844" s="70"/>
      <c r="J844" s="71"/>
    </row>
    <row r="845">
      <c r="B845" s="70"/>
      <c r="J845" s="71"/>
    </row>
    <row r="846">
      <c r="B846" s="70"/>
      <c r="J846" s="71"/>
    </row>
    <row r="847">
      <c r="B847" s="70"/>
      <c r="J847" s="71"/>
    </row>
    <row r="848">
      <c r="B848" s="70"/>
      <c r="J848" s="71"/>
    </row>
    <row r="849">
      <c r="B849" s="70"/>
      <c r="J849" s="71"/>
    </row>
    <row r="850">
      <c r="B850" s="70"/>
      <c r="J850" s="71"/>
    </row>
    <row r="851">
      <c r="B851" s="70"/>
      <c r="J851" s="71"/>
    </row>
    <row r="852">
      <c r="B852" s="70"/>
      <c r="J852" s="71"/>
    </row>
    <row r="853">
      <c r="B853" s="70"/>
      <c r="J853" s="71"/>
    </row>
    <row r="854">
      <c r="B854" s="70"/>
      <c r="J854" s="71"/>
    </row>
    <row r="855">
      <c r="B855" s="70"/>
      <c r="J855" s="71"/>
    </row>
    <row r="856">
      <c r="B856" s="70"/>
      <c r="J856" s="71"/>
    </row>
    <row r="857">
      <c r="B857" s="70"/>
      <c r="J857" s="71"/>
    </row>
    <row r="858">
      <c r="B858" s="70"/>
      <c r="J858" s="71"/>
    </row>
    <row r="859">
      <c r="B859" s="70"/>
      <c r="J859" s="71"/>
    </row>
    <row r="860">
      <c r="B860" s="70"/>
      <c r="J860" s="71"/>
    </row>
    <row r="861">
      <c r="B861" s="70"/>
      <c r="J861" s="71"/>
    </row>
    <row r="862">
      <c r="B862" s="70"/>
      <c r="J862" s="71"/>
    </row>
    <row r="863">
      <c r="B863" s="70"/>
      <c r="J863" s="71"/>
    </row>
    <row r="864">
      <c r="B864" s="70"/>
      <c r="J864" s="71"/>
    </row>
    <row r="865">
      <c r="B865" s="70"/>
      <c r="J865" s="71"/>
    </row>
    <row r="866">
      <c r="B866" s="70"/>
      <c r="J866" s="71"/>
    </row>
    <row r="867">
      <c r="B867" s="70"/>
      <c r="J867" s="71"/>
    </row>
    <row r="868">
      <c r="B868" s="70"/>
      <c r="J868" s="71"/>
    </row>
    <row r="869">
      <c r="B869" s="70"/>
      <c r="J869" s="71"/>
    </row>
    <row r="870">
      <c r="B870" s="70"/>
      <c r="J870" s="71"/>
    </row>
    <row r="871">
      <c r="B871" s="70"/>
      <c r="J871" s="71"/>
    </row>
    <row r="872">
      <c r="B872" s="70"/>
      <c r="J872" s="71"/>
    </row>
    <row r="873">
      <c r="B873" s="70"/>
      <c r="J873" s="71"/>
    </row>
    <row r="874">
      <c r="B874" s="70"/>
      <c r="J874" s="71"/>
    </row>
    <row r="875">
      <c r="B875" s="70"/>
      <c r="J875" s="71"/>
    </row>
    <row r="876">
      <c r="B876" s="70"/>
      <c r="J876" s="71"/>
    </row>
    <row r="877">
      <c r="B877" s="70"/>
      <c r="J877" s="71"/>
    </row>
    <row r="878">
      <c r="B878" s="70"/>
      <c r="J878" s="71"/>
    </row>
    <row r="879">
      <c r="B879" s="70"/>
      <c r="J879" s="71"/>
    </row>
    <row r="880">
      <c r="B880" s="70"/>
      <c r="J880" s="71"/>
    </row>
    <row r="881">
      <c r="B881" s="70"/>
      <c r="J881" s="71"/>
    </row>
    <row r="882">
      <c r="B882" s="70"/>
      <c r="J882" s="71"/>
    </row>
    <row r="883">
      <c r="B883" s="70"/>
      <c r="J883" s="71"/>
    </row>
    <row r="884">
      <c r="B884" s="70"/>
      <c r="J884" s="71"/>
    </row>
    <row r="885">
      <c r="B885" s="70"/>
      <c r="J885" s="71"/>
    </row>
    <row r="886">
      <c r="B886" s="70"/>
      <c r="J886" s="71"/>
    </row>
    <row r="887">
      <c r="B887" s="70"/>
      <c r="J887" s="71"/>
    </row>
    <row r="888">
      <c r="B888" s="70"/>
      <c r="J888" s="71"/>
    </row>
    <row r="889">
      <c r="B889" s="70"/>
      <c r="J889" s="71"/>
    </row>
    <row r="890">
      <c r="B890" s="70"/>
      <c r="J890" s="71"/>
    </row>
    <row r="891">
      <c r="B891" s="70"/>
      <c r="J891" s="71"/>
    </row>
    <row r="892">
      <c r="B892" s="70"/>
      <c r="J892" s="71"/>
    </row>
    <row r="893">
      <c r="B893" s="70"/>
      <c r="J893" s="71"/>
    </row>
    <row r="894">
      <c r="B894" s="70"/>
      <c r="J894" s="71"/>
    </row>
    <row r="895">
      <c r="B895" s="70"/>
      <c r="J895" s="71"/>
    </row>
    <row r="896">
      <c r="B896" s="70"/>
      <c r="J896" s="71"/>
    </row>
    <row r="897">
      <c r="B897" s="70"/>
      <c r="J897" s="71"/>
    </row>
    <row r="898">
      <c r="B898" s="70"/>
      <c r="J898" s="71"/>
    </row>
    <row r="899">
      <c r="B899" s="70"/>
      <c r="J899" s="71"/>
    </row>
    <row r="900">
      <c r="B900" s="70"/>
      <c r="J900" s="71"/>
    </row>
    <row r="901">
      <c r="B901" s="70"/>
      <c r="J901" s="71"/>
    </row>
    <row r="902">
      <c r="B902" s="70"/>
      <c r="J902" s="71"/>
    </row>
    <row r="903">
      <c r="B903" s="70"/>
      <c r="J903" s="71"/>
    </row>
    <row r="904">
      <c r="B904" s="70"/>
      <c r="J904" s="71"/>
    </row>
    <row r="905">
      <c r="B905" s="70"/>
      <c r="J905" s="71"/>
    </row>
    <row r="906">
      <c r="B906" s="70"/>
      <c r="J906" s="71"/>
    </row>
    <row r="907">
      <c r="B907" s="70"/>
      <c r="J907" s="71"/>
    </row>
    <row r="908">
      <c r="B908" s="70"/>
      <c r="J908" s="71"/>
    </row>
    <row r="909">
      <c r="B909" s="70"/>
      <c r="J909" s="71"/>
    </row>
    <row r="910">
      <c r="B910" s="70"/>
      <c r="J910" s="71"/>
    </row>
    <row r="911">
      <c r="B911" s="70"/>
      <c r="J911" s="71"/>
    </row>
    <row r="912">
      <c r="B912" s="70"/>
      <c r="J912" s="71"/>
    </row>
    <row r="913">
      <c r="B913" s="70"/>
      <c r="J913" s="71"/>
    </row>
    <row r="914">
      <c r="B914" s="70"/>
      <c r="J914" s="71"/>
    </row>
    <row r="915">
      <c r="B915" s="70"/>
      <c r="J915" s="71"/>
    </row>
    <row r="916">
      <c r="B916" s="70"/>
      <c r="J916" s="71"/>
    </row>
    <row r="917">
      <c r="B917" s="70"/>
      <c r="J917" s="71"/>
    </row>
    <row r="918">
      <c r="B918" s="70"/>
      <c r="J918" s="71"/>
    </row>
    <row r="919">
      <c r="B919" s="70"/>
      <c r="J919" s="71"/>
    </row>
    <row r="920">
      <c r="B920" s="70"/>
      <c r="J920" s="71"/>
    </row>
    <row r="921">
      <c r="B921" s="70"/>
      <c r="J921" s="71"/>
    </row>
    <row r="922">
      <c r="B922" s="70"/>
      <c r="J922" s="71"/>
    </row>
    <row r="923">
      <c r="B923" s="70"/>
      <c r="J923" s="71"/>
    </row>
    <row r="924">
      <c r="B924" s="70"/>
      <c r="J924" s="71"/>
    </row>
    <row r="925">
      <c r="B925" s="70"/>
      <c r="J925" s="71"/>
    </row>
    <row r="926">
      <c r="B926" s="70"/>
      <c r="J926" s="71"/>
    </row>
    <row r="927">
      <c r="B927" s="70"/>
      <c r="J927" s="71"/>
    </row>
    <row r="928">
      <c r="B928" s="70"/>
      <c r="J928" s="71"/>
    </row>
    <row r="929">
      <c r="B929" s="70"/>
      <c r="J929" s="71"/>
    </row>
    <row r="930">
      <c r="B930" s="70"/>
      <c r="J930" s="71"/>
    </row>
    <row r="931">
      <c r="B931" s="70"/>
      <c r="J931" s="71"/>
    </row>
    <row r="932">
      <c r="B932" s="70"/>
      <c r="J932" s="71"/>
    </row>
    <row r="933">
      <c r="B933" s="70"/>
      <c r="J933" s="71"/>
    </row>
    <row r="934">
      <c r="B934" s="70"/>
      <c r="J934" s="71"/>
    </row>
    <row r="935">
      <c r="B935" s="70"/>
      <c r="J935" s="71"/>
    </row>
    <row r="936">
      <c r="B936" s="70"/>
      <c r="J936" s="71"/>
    </row>
    <row r="937">
      <c r="B937" s="70"/>
      <c r="J937" s="71"/>
    </row>
    <row r="938">
      <c r="B938" s="70"/>
      <c r="J938" s="71"/>
    </row>
    <row r="939">
      <c r="B939" s="70"/>
      <c r="J939" s="71"/>
    </row>
    <row r="940">
      <c r="B940" s="70"/>
      <c r="J940" s="71"/>
    </row>
    <row r="941">
      <c r="B941" s="70"/>
      <c r="J941" s="71"/>
    </row>
    <row r="942">
      <c r="B942" s="70"/>
      <c r="J942" s="71"/>
    </row>
    <row r="943">
      <c r="B943" s="70"/>
      <c r="J943" s="71"/>
    </row>
    <row r="944">
      <c r="B944" s="70"/>
      <c r="J944" s="71"/>
    </row>
    <row r="945">
      <c r="B945" s="70"/>
      <c r="J945" s="71"/>
    </row>
    <row r="946">
      <c r="B946" s="70"/>
      <c r="J946" s="71"/>
    </row>
    <row r="947">
      <c r="B947" s="70"/>
      <c r="J947" s="71"/>
    </row>
    <row r="948">
      <c r="B948" s="70"/>
      <c r="J948" s="71"/>
    </row>
    <row r="949">
      <c r="B949" s="70"/>
      <c r="J949" s="71"/>
    </row>
    <row r="950">
      <c r="B950" s="70"/>
      <c r="J950" s="71"/>
    </row>
    <row r="951">
      <c r="B951" s="70"/>
      <c r="J951" s="71"/>
    </row>
    <row r="952">
      <c r="B952" s="70"/>
      <c r="J952" s="71"/>
    </row>
    <row r="953">
      <c r="B953" s="70"/>
      <c r="J953" s="71"/>
    </row>
    <row r="954">
      <c r="B954" s="70"/>
      <c r="J954" s="71"/>
    </row>
    <row r="955">
      <c r="B955" s="70"/>
      <c r="J955" s="71"/>
    </row>
    <row r="956">
      <c r="B956" s="70"/>
      <c r="J956" s="71"/>
    </row>
    <row r="957">
      <c r="B957" s="70"/>
      <c r="J957" s="71"/>
    </row>
    <row r="958">
      <c r="B958" s="70"/>
      <c r="J958" s="71"/>
    </row>
    <row r="959">
      <c r="B959" s="70"/>
      <c r="J959" s="71"/>
    </row>
    <row r="960">
      <c r="B960" s="70"/>
      <c r="J960" s="71"/>
    </row>
    <row r="961">
      <c r="B961" s="70"/>
      <c r="J961" s="71"/>
    </row>
    <row r="962">
      <c r="B962" s="70"/>
      <c r="J962" s="71"/>
    </row>
    <row r="963">
      <c r="B963" s="70"/>
      <c r="J963" s="71"/>
    </row>
    <row r="964">
      <c r="B964" s="70"/>
      <c r="J964" s="71"/>
    </row>
    <row r="965">
      <c r="B965" s="70"/>
      <c r="J965" s="71"/>
    </row>
    <row r="966">
      <c r="B966" s="70"/>
      <c r="J966" s="71"/>
    </row>
    <row r="967">
      <c r="B967" s="70"/>
      <c r="J967" s="71"/>
    </row>
    <row r="968">
      <c r="B968" s="70"/>
      <c r="J968" s="71"/>
    </row>
    <row r="969">
      <c r="B969" s="70"/>
      <c r="J969" s="71"/>
    </row>
    <row r="970">
      <c r="B970" s="70"/>
      <c r="J970" s="71"/>
    </row>
    <row r="971">
      <c r="B971" s="70"/>
      <c r="J971" s="71"/>
    </row>
    <row r="972">
      <c r="B972" s="70"/>
      <c r="J972" s="71"/>
    </row>
    <row r="973">
      <c r="B973" s="70"/>
      <c r="J973" s="71"/>
    </row>
    <row r="974">
      <c r="B974" s="70"/>
      <c r="J974" s="71"/>
    </row>
    <row r="975">
      <c r="B975" s="70"/>
      <c r="J975" s="71"/>
    </row>
    <row r="976">
      <c r="B976" s="70"/>
      <c r="J976" s="71"/>
    </row>
    <row r="977">
      <c r="B977" s="70"/>
      <c r="J977" s="71"/>
    </row>
    <row r="978">
      <c r="B978" s="70"/>
      <c r="J978" s="71"/>
    </row>
    <row r="979">
      <c r="B979" s="70"/>
      <c r="J979" s="71"/>
    </row>
    <row r="980">
      <c r="B980" s="70"/>
      <c r="J980" s="71"/>
    </row>
    <row r="981">
      <c r="B981" s="70"/>
      <c r="J981" s="71"/>
    </row>
    <row r="982">
      <c r="B982" s="70"/>
      <c r="J982" s="71"/>
    </row>
    <row r="983">
      <c r="B983" s="70"/>
      <c r="J983" s="71"/>
    </row>
    <row r="984">
      <c r="B984" s="70"/>
      <c r="J984" s="71"/>
    </row>
    <row r="985">
      <c r="B985" s="70"/>
      <c r="J985" s="71"/>
    </row>
    <row r="986">
      <c r="B986" s="70"/>
      <c r="J986" s="71"/>
    </row>
    <row r="987">
      <c r="B987" s="70"/>
      <c r="J987" s="71"/>
    </row>
    <row r="988">
      <c r="B988" s="70"/>
      <c r="J988" s="71"/>
    </row>
    <row r="989">
      <c r="B989" s="70"/>
      <c r="J989" s="71"/>
    </row>
    <row r="990">
      <c r="B990" s="70"/>
      <c r="J990" s="71"/>
    </row>
    <row r="991">
      <c r="B991" s="70"/>
      <c r="J991" s="71"/>
    </row>
    <row r="992">
      <c r="B992" s="70"/>
      <c r="J992" s="71"/>
    </row>
    <row r="993">
      <c r="B993" s="70"/>
      <c r="J993" s="71"/>
    </row>
    <row r="994">
      <c r="B994" s="70"/>
      <c r="J994" s="71"/>
    </row>
    <row r="995">
      <c r="B995" s="70"/>
      <c r="J995" s="71"/>
    </row>
    <row r="996">
      <c r="B996" s="70"/>
      <c r="J996" s="71"/>
    </row>
    <row r="997">
      <c r="B997" s="70"/>
      <c r="J997" s="71"/>
    </row>
    <row r="998">
      <c r="B998" s="70"/>
      <c r="J998" s="71"/>
    </row>
    <row r="999">
      <c r="B999" s="70"/>
      <c r="J999" s="71"/>
    </row>
    <row r="1000">
      <c r="B1000" s="70"/>
      <c r="J1000" s="71"/>
    </row>
    <row r="1001">
      <c r="B1001" s="70"/>
      <c r="J1001" s="71"/>
    </row>
    <row r="1002">
      <c r="B1002" s="70"/>
      <c r="J1002" s="71"/>
    </row>
    <row r="1003">
      <c r="B1003" s="70"/>
      <c r="J1003" s="71"/>
    </row>
    <row r="1004">
      <c r="B1004" s="70"/>
      <c r="J1004" s="71"/>
    </row>
    <row r="1005">
      <c r="B1005" s="70"/>
      <c r="J1005" s="71"/>
    </row>
    <row r="1006">
      <c r="B1006" s="70"/>
      <c r="J1006" s="71"/>
    </row>
    <row r="1007">
      <c r="B1007" s="70"/>
      <c r="J1007" s="71"/>
    </row>
    <row r="1008">
      <c r="B1008" s="70"/>
      <c r="J1008" s="71"/>
    </row>
    <row r="1009">
      <c r="B1009" s="70"/>
      <c r="J1009" s="71"/>
    </row>
    <row r="1010">
      <c r="B1010" s="70"/>
      <c r="J1010" s="71"/>
    </row>
    <row r="1011">
      <c r="B1011" s="70"/>
      <c r="J1011" s="71"/>
    </row>
    <row r="1012">
      <c r="B1012" s="70"/>
      <c r="J1012" s="71"/>
    </row>
    <row r="1013">
      <c r="B1013" s="70"/>
      <c r="J1013" s="71"/>
    </row>
    <row r="1014">
      <c r="B1014" s="70"/>
      <c r="J1014" s="71"/>
    </row>
    <row r="1015">
      <c r="B1015" s="70"/>
      <c r="J1015" s="71"/>
    </row>
    <row r="1016">
      <c r="B1016" s="70"/>
      <c r="J1016" s="71"/>
    </row>
    <row r="1017">
      <c r="B1017" s="70"/>
      <c r="J1017" s="71"/>
    </row>
    <row r="1018">
      <c r="B1018" s="70"/>
      <c r="J1018" s="71"/>
    </row>
    <row r="1019">
      <c r="B1019" s="70"/>
      <c r="J1019" s="71"/>
    </row>
    <row r="1020">
      <c r="B1020" s="70"/>
      <c r="J1020" s="71"/>
    </row>
    <row r="1021">
      <c r="B1021" s="70"/>
      <c r="J1021" s="71"/>
    </row>
    <row r="1022">
      <c r="B1022" s="70"/>
      <c r="J1022" s="71"/>
    </row>
    <row r="1023">
      <c r="B1023" s="70"/>
      <c r="J1023" s="71"/>
    </row>
    <row r="1024">
      <c r="B1024" s="70"/>
      <c r="J1024" s="71"/>
    </row>
    <row r="1025">
      <c r="B1025" s="70"/>
      <c r="J1025" s="71"/>
    </row>
    <row r="1026">
      <c r="B1026" s="70"/>
      <c r="J1026" s="71"/>
    </row>
    <row r="1027">
      <c r="B1027" s="70"/>
      <c r="J1027" s="71"/>
    </row>
    <row r="1028">
      <c r="B1028" s="70"/>
      <c r="J1028" s="71"/>
    </row>
    <row r="1029">
      <c r="B1029" s="70"/>
      <c r="J1029" s="71"/>
    </row>
    <row r="1030">
      <c r="B1030" s="70"/>
      <c r="J1030" s="71"/>
    </row>
    <row r="1031">
      <c r="B1031" s="70"/>
      <c r="J1031" s="71"/>
    </row>
    <row r="1032">
      <c r="B1032" s="70"/>
      <c r="J1032" s="71"/>
    </row>
    <row r="1033">
      <c r="B1033" s="70"/>
      <c r="J1033" s="71"/>
    </row>
    <row r="1034">
      <c r="B1034" s="70"/>
      <c r="J1034" s="71"/>
    </row>
    <row r="1035">
      <c r="B1035" s="70"/>
      <c r="J1035" s="71"/>
    </row>
    <row r="1036">
      <c r="B1036" s="70"/>
      <c r="J1036" s="71"/>
    </row>
    <row r="1037">
      <c r="B1037" s="70"/>
      <c r="J1037" s="71"/>
    </row>
    <row r="1038">
      <c r="B1038" s="70"/>
      <c r="J1038" s="71"/>
    </row>
    <row r="1039">
      <c r="B1039" s="70"/>
      <c r="J1039" s="71"/>
    </row>
    <row r="1040">
      <c r="B1040" s="70"/>
      <c r="J1040" s="71"/>
    </row>
    <row r="1041">
      <c r="B1041" s="70"/>
      <c r="J1041" s="71"/>
    </row>
    <row r="1042">
      <c r="B1042" s="70"/>
      <c r="J1042" s="71"/>
    </row>
    <row r="1043">
      <c r="B1043" s="70"/>
      <c r="J1043" s="71"/>
    </row>
    <row r="1044">
      <c r="B1044" s="70"/>
      <c r="J1044" s="71"/>
    </row>
    <row r="1045">
      <c r="B1045" s="70"/>
      <c r="J1045" s="71"/>
    </row>
    <row r="1046">
      <c r="B1046" s="70"/>
      <c r="J1046" s="71"/>
    </row>
  </sheetData>
  <mergeCells count="3">
    <mergeCell ref="A1:J2"/>
    <mergeCell ref="C4:G4"/>
    <mergeCell ref="B50:H50"/>
  </mergeCells>
  <printOptions gridLines="1" horizontalCentered="1" verticalCentered="1"/>
  <pageMargins bottom="0.75" footer="0.0" header="0.0" left="0.25" right="0.25" top="0.75"/>
  <pageSetup fitToHeight="0" paperSize="9" cellComments="atEnd" orientation="landscape" pageOrder="overThenDown"/>
  <drawing r:id="rId1"/>
</worksheet>
</file>